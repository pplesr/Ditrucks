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cabalservicios-my.sharepoint.com/personal/peter_plesr_grupocabal_cl/Documents/Escritorio/TODO A NUEVO COMPUTADOR/Proyecto Martina/"/>
    </mc:Choice>
  </mc:AlternateContent>
  <xr:revisionPtr revIDLastSave="0" documentId="8_{9C22F995-7B93-4743-9386-FCEADC7B72CC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recios_App" sheetId="1" r:id="rId1"/>
    <sheet name="Patentes" sheetId="2" r:id="rId2"/>
    <sheet name="Submissions" sheetId="3" r:id="rId3"/>
    <sheet name="Config" sheetId="4" r:id="rId4"/>
  </sheets>
  <definedNames>
    <definedName name="_xlnm._FilterDatabase" localSheetId="0" hidden="1">Precios_App!$A$2:$AH$176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P54" i="1" l="1"/>
  <c r="O54" i="1"/>
  <c r="N54" i="1" s="1"/>
  <c r="M54" i="1" s="1"/>
  <c r="H54" i="1"/>
  <c r="H179" i="1"/>
  <c r="H180" i="1"/>
  <c r="O179" i="1"/>
  <c r="O180" i="1"/>
  <c r="H98" i="1"/>
  <c r="H99" i="1"/>
  <c r="O98" i="1"/>
  <c r="O99" i="1"/>
  <c r="O178" i="1"/>
  <c r="O177" i="1"/>
  <c r="H178" i="1"/>
  <c r="H177" i="1"/>
  <c r="O4" i="1" l="1"/>
  <c r="P4" i="1"/>
  <c r="O5" i="1"/>
  <c r="P5" i="1"/>
  <c r="O6" i="1"/>
  <c r="P6" i="1"/>
  <c r="O8" i="1"/>
  <c r="P8" i="1"/>
  <c r="O9" i="1"/>
  <c r="P9" i="1"/>
  <c r="O10" i="1"/>
  <c r="O11" i="1"/>
  <c r="O12" i="1"/>
  <c r="P12" i="1"/>
  <c r="O13" i="1"/>
  <c r="P13" i="1"/>
  <c r="O14" i="1"/>
  <c r="O15" i="1"/>
  <c r="P15" i="1"/>
  <c r="O16" i="1"/>
  <c r="P16" i="1"/>
  <c r="O17" i="1"/>
  <c r="O18" i="1"/>
  <c r="O19" i="1"/>
  <c r="P19" i="1"/>
  <c r="O20" i="1"/>
  <c r="P20" i="1"/>
  <c r="O21" i="1"/>
  <c r="O22" i="1"/>
  <c r="O23" i="1"/>
  <c r="P23" i="1"/>
  <c r="O24" i="1"/>
  <c r="P24" i="1"/>
  <c r="O25" i="1"/>
  <c r="O26" i="1"/>
  <c r="O27" i="1"/>
  <c r="P27" i="1"/>
  <c r="O28" i="1"/>
  <c r="P28" i="1"/>
  <c r="O29" i="1"/>
  <c r="O30" i="1"/>
  <c r="P30" i="1"/>
  <c r="O31" i="1"/>
  <c r="P31" i="1"/>
  <c r="O32" i="1"/>
  <c r="P32" i="1"/>
  <c r="O33" i="1"/>
  <c r="O34" i="1"/>
  <c r="O35" i="1"/>
  <c r="P35" i="1"/>
  <c r="O36" i="1"/>
  <c r="O37" i="1"/>
  <c r="P37" i="1"/>
  <c r="O38" i="1"/>
  <c r="O39" i="1"/>
  <c r="P39" i="1"/>
  <c r="O40" i="1"/>
  <c r="O41" i="1"/>
  <c r="O42" i="1"/>
  <c r="P42" i="1"/>
  <c r="O43" i="1"/>
  <c r="O44" i="1"/>
  <c r="P44" i="1"/>
  <c r="O45" i="1"/>
  <c r="P45" i="1"/>
  <c r="O46" i="1"/>
  <c r="P46" i="1"/>
  <c r="O47" i="1"/>
  <c r="O48" i="1"/>
  <c r="P48" i="1"/>
  <c r="O49" i="1"/>
  <c r="P49" i="1"/>
  <c r="O50" i="1"/>
  <c r="O51" i="1"/>
  <c r="O52" i="1"/>
  <c r="P52" i="1"/>
  <c r="O53" i="1"/>
  <c r="P53" i="1"/>
  <c r="O55" i="1"/>
  <c r="P55" i="1"/>
  <c r="O56" i="1"/>
  <c r="O57" i="1"/>
  <c r="O58" i="1"/>
  <c r="P58" i="1"/>
  <c r="O59" i="1"/>
  <c r="O60" i="1"/>
  <c r="P60" i="1"/>
  <c r="O61" i="1"/>
  <c r="O62" i="1"/>
  <c r="P62" i="1"/>
  <c r="O63" i="1"/>
  <c r="O64" i="1"/>
  <c r="P64" i="1"/>
  <c r="O65" i="1"/>
  <c r="P65" i="1"/>
  <c r="O66" i="1"/>
  <c r="O67" i="1"/>
  <c r="O68" i="1"/>
  <c r="P68" i="1"/>
  <c r="O69" i="1"/>
  <c r="P69" i="1"/>
  <c r="O70" i="1"/>
  <c r="O71" i="1"/>
  <c r="O72" i="1"/>
  <c r="P72" i="1"/>
  <c r="O73" i="1"/>
  <c r="P73" i="1"/>
  <c r="O74" i="1"/>
  <c r="P74" i="1"/>
  <c r="O75" i="1"/>
  <c r="O76" i="1"/>
  <c r="P76" i="1"/>
  <c r="O77" i="1"/>
  <c r="O78" i="1"/>
  <c r="P78" i="1"/>
  <c r="O79" i="1"/>
  <c r="P79" i="1"/>
  <c r="O80" i="1"/>
  <c r="O81" i="1"/>
  <c r="P81" i="1"/>
  <c r="O82" i="1"/>
  <c r="P82" i="1"/>
  <c r="O83" i="1"/>
  <c r="P83" i="1"/>
  <c r="O84" i="1"/>
  <c r="O85" i="1"/>
  <c r="P85" i="1"/>
  <c r="O86" i="1"/>
  <c r="O87" i="1"/>
  <c r="P87" i="1"/>
  <c r="O88" i="1"/>
  <c r="O89" i="1"/>
  <c r="P89" i="1"/>
  <c r="O90" i="1"/>
  <c r="O91" i="1"/>
  <c r="O92" i="1"/>
  <c r="P92" i="1"/>
  <c r="O93" i="1"/>
  <c r="P93" i="1"/>
  <c r="O94" i="1"/>
  <c r="P94" i="1"/>
  <c r="O95" i="1"/>
  <c r="P95" i="1"/>
  <c r="O96" i="1"/>
  <c r="P96" i="1"/>
  <c r="O97" i="1"/>
  <c r="P97" i="1"/>
  <c r="O100" i="1"/>
  <c r="O101" i="1"/>
  <c r="O102" i="1"/>
  <c r="P102" i="1"/>
  <c r="O103" i="1"/>
  <c r="O104" i="1"/>
  <c r="P104" i="1"/>
  <c r="O105" i="1"/>
  <c r="P105" i="1"/>
  <c r="O106" i="1"/>
  <c r="O107" i="1"/>
  <c r="O108" i="1"/>
  <c r="P108" i="1"/>
  <c r="O109" i="1"/>
  <c r="O110" i="1"/>
  <c r="O111" i="1"/>
  <c r="P111" i="1"/>
  <c r="P112" i="1"/>
  <c r="O113" i="1"/>
  <c r="O114" i="1"/>
  <c r="O115" i="1"/>
  <c r="P115" i="1"/>
  <c r="O116" i="1"/>
  <c r="P116" i="1"/>
  <c r="O117" i="1"/>
  <c r="P117" i="1"/>
  <c r="O118" i="1"/>
  <c r="O119" i="1"/>
  <c r="P119" i="1"/>
  <c r="O120" i="1"/>
  <c r="P120" i="1"/>
  <c r="O121" i="1"/>
  <c r="O122" i="1"/>
  <c r="O123" i="1"/>
  <c r="P123" i="1"/>
  <c r="O124" i="1"/>
  <c r="P124" i="1"/>
  <c r="O125" i="1"/>
  <c r="O126" i="1"/>
  <c r="O127" i="1"/>
  <c r="P127" i="1"/>
  <c r="O128" i="1"/>
  <c r="P128" i="1"/>
  <c r="O129" i="1"/>
  <c r="O130" i="1"/>
  <c r="P130" i="1"/>
  <c r="O131" i="1"/>
  <c r="O132" i="1"/>
  <c r="P132" i="1"/>
  <c r="O133" i="1"/>
  <c r="O134" i="1"/>
  <c r="P134" i="1"/>
  <c r="O135" i="1"/>
  <c r="O136" i="1"/>
  <c r="O137" i="1"/>
  <c r="P137" i="1"/>
  <c r="O138" i="1"/>
  <c r="P138" i="1"/>
  <c r="O139" i="1"/>
  <c r="P139" i="1"/>
  <c r="O140" i="1"/>
  <c r="O141" i="1"/>
  <c r="O142" i="1"/>
  <c r="P142" i="1"/>
  <c r="O143" i="1"/>
  <c r="O144" i="1"/>
  <c r="P144" i="1"/>
  <c r="O145" i="1"/>
  <c r="P145" i="1"/>
  <c r="O146" i="1"/>
  <c r="P146" i="1"/>
  <c r="O147" i="1"/>
  <c r="O148" i="1"/>
  <c r="O149" i="1"/>
  <c r="P149" i="1"/>
  <c r="O150" i="1"/>
  <c r="P150" i="1"/>
  <c r="O151" i="1"/>
  <c r="P151" i="1"/>
  <c r="O152" i="1"/>
  <c r="O153" i="1"/>
  <c r="P153" i="1"/>
  <c r="O154" i="1"/>
  <c r="O155" i="1"/>
  <c r="P155" i="1"/>
  <c r="O156" i="1"/>
  <c r="O157" i="1"/>
  <c r="O158" i="1"/>
  <c r="P158" i="1"/>
  <c r="O159" i="1"/>
  <c r="P159" i="1"/>
  <c r="O160" i="1"/>
  <c r="P160" i="1"/>
  <c r="O161" i="1"/>
  <c r="P161" i="1"/>
  <c r="O162" i="1"/>
  <c r="P162" i="1"/>
  <c r="O163" i="1"/>
  <c r="P163" i="1"/>
  <c r="O164" i="1"/>
  <c r="O165" i="1"/>
  <c r="O166" i="1"/>
  <c r="P166" i="1"/>
  <c r="O167" i="1"/>
  <c r="P167" i="1"/>
  <c r="O168" i="1"/>
  <c r="P168" i="1"/>
  <c r="O169" i="1"/>
  <c r="P169" i="1"/>
  <c r="O170" i="1"/>
  <c r="P170" i="1"/>
  <c r="O171" i="1"/>
  <c r="P171" i="1"/>
  <c r="O172" i="1"/>
  <c r="P172" i="1"/>
  <c r="O174" i="1"/>
  <c r="P174" i="1"/>
  <c r="O175" i="1"/>
  <c r="P175" i="1"/>
  <c r="O176" i="1"/>
  <c r="P176" i="1"/>
  <c r="O3" i="1"/>
  <c r="Q6" i="1"/>
  <c r="Q143" i="1"/>
  <c r="Q105" i="1"/>
  <c r="T3" i="1"/>
  <c r="H105" i="1"/>
  <c r="H104" i="1"/>
  <c r="H106" i="1"/>
  <c r="H170" i="1"/>
  <c r="G175" i="1"/>
  <c r="H175" i="1" s="1"/>
  <c r="G174" i="1"/>
  <c r="H174" i="1" s="1"/>
  <c r="H176" i="1"/>
  <c r="I112" i="1"/>
  <c r="G112" i="1" s="1"/>
  <c r="H112" i="1" s="1"/>
  <c r="I7" i="1"/>
  <c r="K100" i="1"/>
  <c r="K92" i="1"/>
  <c r="K89" i="1"/>
  <c r="K85" i="1"/>
  <c r="K64" i="1"/>
  <c r="K46" i="1"/>
  <c r="K43" i="1"/>
  <c r="K37" i="1"/>
  <c r="K34" i="1"/>
  <c r="K33" i="1"/>
  <c r="K26" i="1"/>
  <c r="K24" i="1"/>
  <c r="K23" i="1"/>
  <c r="K16" i="1"/>
  <c r="K14" i="1"/>
  <c r="N174" i="1" l="1"/>
  <c r="M174" i="1" s="1"/>
  <c r="N79" i="1"/>
  <c r="M79" i="1" s="1"/>
  <c r="N20" i="1"/>
  <c r="M20" i="1" s="1"/>
  <c r="N124" i="1"/>
  <c r="M124" i="1" s="1"/>
  <c r="N69" i="1"/>
  <c r="M69" i="1" s="1"/>
  <c r="N9" i="1"/>
  <c r="M9" i="1" s="1"/>
  <c r="N73" i="1"/>
  <c r="M73" i="1" s="1"/>
  <c r="N167" i="1"/>
  <c r="M167" i="1" s="1"/>
  <c r="N58" i="1"/>
  <c r="M58" i="1" s="1"/>
  <c r="N142" i="1"/>
  <c r="M142" i="1" s="1"/>
  <c r="N76" i="1"/>
  <c r="M76" i="1" s="1"/>
  <c r="N27" i="1"/>
  <c r="M27" i="1" s="1"/>
  <c r="P99" i="1"/>
  <c r="N99" i="1" s="1"/>
  <c r="M99" i="1" s="1"/>
  <c r="P179" i="1"/>
  <c r="N179" i="1" s="1"/>
  <c r="M179" i="1" s="1"/>
  <c r="P180" i="1"/>
  <c r="N180" i="1" s="1"/>
  <c r="M180" i="1" s="1"/>
  <c r="P98" i="1"/>
  <c r="N98" i="1" s="1"/>
  <c r="M98" i="1" s="1"/>
  <c r="P141" i="1"/>
  <c r="P126" i="1"/>
  <c r="P121" i="1"/>
  <c r="N121" i="1" s="1"/>
  <c r="M121" i="1" s="1"/>
  <c r="O112" i="1"/>
  <c r="P106" i="1"/>
  <c r="N102" i="1"/>
  <c r="M102" i="1" s="1"/>
  <c r="P75" i="1"/>
  <c r="N75" i="1" s="1"/>
  <c r="M75" i="1" s="1"/>
  <c r="P71" i="1"/>
  <c r="N71" i="1" s="1"/>
  <c r="M71" i="1" s="1"/>
  <c r="P66" i="1"/>
  <c r="P50" i="1"/>
  <c r="P41" i="1"/>
  <c r="P26" i="1"/>
  <c r="P11" i="1"/>
  <c r="N36" i="1"/>
  <c r="M36" i="1" s="1"/>
  <c r="N172" i="1"/>
  <c r="M172" i="1" s="1"/>
  <c r="N160" i="1"/>
  <c r="M160" i="1" s="1"/>
  <c r="N139" i="1"/>
  <c r="M139" i="1" s="1"/>
  <c r="N126" i="1"/>
  <c r="M126" i="1" s="1"/>
  <c r="N65" i="1"/>
  <c r="M65" i="1" s="1"/>
  <c r="N46" i="1"/>
  <c r="M46" i="1" s="1"/>
  <c r="N42" i="1"/>
  <c r="M42" i="1" s="1"/>
  <c r="N12" i="1"/>
  <c r="M12" i="1" s="1"/>
  <c r="N8" i="1"/>
  <c r="M8" i="1" s="1"/>
  <c r="N151" i="1"/>
  <c r="M151" i="1" s="1"/>
  <c r="N130" i="1"/>
  <c r="M130" i="1" s="1"/>
  <c r="N125" i="1"/>
  <c r="M125" i="1" s="1"/>
  <c r="N108" i="1"/>
  <c r="M108" i="1" s="1"/>
  <c r="N85" i="1"/>
  <c r="M85" i="1" s="1"/>
  <c r="N60" i="1"/>
  <c r="N28" i="1"/>
  <c r="M28" i="1" s="1"/>
  <c r="N16" i="1"/>
  <c r="N171" i="1"/>
  <c r="N163" i="1"/>
  <c r="M163" i="1" s="1"/>
  <c r="N159" i="1"/>
  <c r="N155" i="1"/>
  <c r="M155" i="1" s="1"/>
  <c r="N146" i="1"/>
  <c r="M146" i="1" s="1"/>
  <c r="N134" i="1"/>
  <c r="N116" i="1"/>
  <c r="M116" i="1" s="1"/>
  <c r="N97" i="1"/>
  <c r="M97" i="1" s="1"/>
  <c r="N93" i="1"/>
  <c r="M93" i="1" s="1"/>
  <c r="N89" i="1"/>
  <c r="N84" i="1"/>
  <c r="M84" i="1" s="1"/>
  <c r="N64" i="1"/>
  <c r="M64" i="1" s="1"/>
  <c r="N55" i="1"/>
  <c r="M55" i="1" s="1"/>
  <c r="N41" i="1"/>
  <c r="M41" i="1" s="1"/>
  <c r="N32" i="1"/>
  <c r="M32" i="1" s="1"/>
  <c r="N24" i="1"/>
  <c r="M24" i="1" s="1"/>
  <c r="N11" i="1"/>
  <c r="M11" i="1" s="1"/>
  <c r="N6" i="1"/>
  <c r="M6" i="1" s="1"/>
  <c r="N175" i="1"/>
  <c r="M175" i="1" s="1"/>
  <c r="N150" i="1"/>
  <c r="M150" i="1" s="1"/>
  <c r="N120" i="1"/>
  <c r="M120" i="1" s="1"/>
  <c r="N72" i="1"/>
  <c r="M72" i="1" s="1"/>
  <c r="N68" i="1"/>
  <c r="M68" i="1" s="1"/>
  <c r="N49" i="1"/>
  <c r="M49" i="1" s="1"/>
  <c r="N40" i="1"/>
  <c r="M40" i="1" s="1"/>
  <c r="N162" i="1"/>
  <c r="M162" i="1" s="1"/>
  <c r="N158" i="1"/>
  <c r="N145" i="1"/>
  <c r="M145" i="1" s="1"/>
  <c r="N141" i="1"/>
  <c r="M141" i="1" s="1"/>
  <c r="N128" i="1"/>
  <c r="M128" i="1" s="1"/>
  <c r="N106" i="1"/>
  <c r="M106" i="1" s="1"/>
  <c r="N96" i="1"/>
  <c r="M96" i="1" s="1"/>
  <c r="N92" i="1"/>
  <c r="M92" i="1" s="1"/>
  <c r="N53" i="1"/>
  <c r="M53" i="1" s="1"/>
  <c r="N31" i="1"/>
  <c r="M31" i="1" s="1"/>
  <c r="N23" i="1"/>
  <c r="M23" i="1" s="1"/>
  <c r="N5" i="1"/>
  <c r="M5" i="1" s="1"/>
  <c r="G7" i="1"/>
  <c r="H7" i="1" s="1"/>
  <c r="O7" i="1"/>
  <c r="N7" i="1" s="1"/>
  <c r="M7" i="1" s="1"/>
  <c r="P7" i="1"/>
  <c r="N166" i="1"/>
  <c r="M166" i="1" s="1"/>
  <c r="N153" i="1"/>
  <c r="M153" i="1" s="1"/>
  <c r="N136" i="1"/>
  <c r="M136" i="1" s="1"/>
  <c r="N132" i="1"/>
  <c r="M132" i="1" s="1"/>
  <c r="N119" i="1"/>
  <c r="M119" i="1" s="1"/>
  <c r="N87" i="1"/>
  <c r="M87" i="1" s="1"/>
  <c r="N39" i="1"/>
  <c r="M39" i="1" s="1"/>
  <c r="N35" i="1"/>
  <c r="M35" i="1" s="1"/>
  <c r="P178" i="1"/>
  <c r="N178" i="1" s="1"/>
  <c r="M178" i="1" s="1"/>
  <c r="P177" i="1"/>
  <c r="N177" i="1" s="1"/>
  <c r="M177" i="1" s="1"/>
  <c r="P14" i="1"/>
  <c r="N14" i="1" s="1"/>
  <c r="P18" i="1"/>
  <c r="N18" i="1" s="1"/>
  <c r="M18" i="1" s="1"/>
  <c r="P25" i="1"/>
  <c r="N25" i="1" s="1"/>
  <c r="M25" i="1" s="1"/>
  <c r="P36" i="1"/>
  <c r="P40" i="1"/>
  <c r="P43" i="1"/>
  <c r="N43" i="1" s="1"/>
  <c r="M43" i="1" s="1"/>
  <c r="P47" i="1"/>
  <c r="N47" i="1" s="1"/>
  <c r="M47" i="1" s="1"/>
  <c r="P51" i="1"/>
  <c r="N51" i="1" s="1"/>
  <c r="M51" i="1" s="1"/>
  <c r="P59" i="1"/>
  <c r="N59" i="1" s="1"/>
  <c r="M59" i="1" s="1"/>
  <c r="P70" i="1"/>
  <c r="N70" i="1" s="1"/>
  <c r="M70" i="1" s="1"/>
  <c r="P80" i="1"/>
  <c r="N80" i="1" s="1"/>
  <c r="M80" i="1" s="1"/>
  <c r="P84" i="1"/>
  <c r="P91" i="1"/>
  <c r="N91" i="1" s="1"/>
  <c r="M91" i="1" s="1"/>
  <c r="P100" i="1"/>
  <c r="N100" i="1" s="1"/>
  <c r="M100" i="1" s="1"/>
  <c r="P103" i="1"/>
  <c r="N103" i="1" s="1"/>
  <c r="M103" i="1" s="1"/>
  <c r="P107" i="1"/>
  <c r="N107" i="1" s="1"/>
  <c r="M107" i="1" s="1"/>
  <c r="P110" i="1"/>
  <c r="N110" i="1" s="1"/>
  <c r="M110" i="1" s="1"/>
  <c r="P114" i="1"/>
  <c r="N114" i="1" s="1"/>
  <c r="M114" i="1" s="1"/>
  <c r="P118" i="1"/>
  <c r="N118" i="1" s="1"/>
  <c r="M118" i="1" s="1"/>
  <c r="P125" i="1"/>
  <c r="P136" i="1"/>
  <c r="P143" i="1"/>
  <c r="N143" i="1" s="1"/>
  <c r="M143" i="1" s="1"/>
  <c r="P154" i="1"/>
  <c r="N154" i="1" s="1"/>
  <c r="P157" i="1"/>
  <c r="N157" i="1" s="1"/>
  <c r="M157" i="1" s="1"/>
  <c r="P164" i="1"/>
  <c r="N164" i="1" s="1"/>
  <c r="M164" i="1" s="1"/>
  <c r="P10" i="1"/>
  <c r="N10" i="1" s="1"/>
  <c r="M10" i="1" s="1"/>
  <c r="P22" i="1"/>
  <c r="N22" i="1" s="1"/>
  <c r="M22" i="1" s="1"/>
  <c r="P29" i="1"/>
  <c r="N29" i="1" s="1"/>
  <c r="M29" i="1" s="1"/>
  <c r="P33" i="1"/>
  <c r="N33" i="1" s="1"/>
  <c r="M33" i="1" s="1"/>
  <c r="P56" i="1"/>
  <c r="P63" i="1"/>
  <c r="N63" i="1" s="1"/>
  <c r="P67" i="1"/>
  <c r="N67" i="1" s="1"/>
  <c r="M67" i="1" s="1"/>
  <c r="P77" i="1"/>
  <c r="N77" i="1" s="1"/>
  <c r="M77" i="1" s="1"/>
  <c r="P88" i="1"/>
  <c r="P122" i="1"/>
  <c r="N122" i="1" s="1"/>
  <c r="M122" i="1" s="1"/>
  <c r="P129" i="1"/>
  <c r="N129" i="1" s="1"/>
  <c r="M129" i="1" s="1"/>
  <c r="P133" i="1"/>
  <c r="P140" i="1"/>
  <c r="N140" i="1" s="1"/>
  <c r="M140" i="1" s="1"/>
  <c r="P147" i="1"/>
  <c r="P3" i="1"/>
  <c r="N3" i="1" s="1"/>
  <c r="M3" i="1" s="1"/>
  <c r="N169" i="1"/>
  <c r="M169" i="1" s="1"/>
  <c r="P165" i="1"/>
  <c r="N161" i="1"/>
  <c r="M161" i="1" s="1"/>
  <c r="P156" i="1"/>
  <c r="N156" i="1" s="1"/>
  <c r="P152" i="1"/>
  <c r="N152" i="1" s="1"/>
  <c r="P148" i="1"/>
  <c r="N148" i="1" s="1"/>
  <c r="M148" i="1" s="1"/>
  <c r="N144" i="1"/>
  <c r="M144" i="1" s="1"/>
  <c r="P135" i="1"/>
  <c r="N135" i="1" s="1"/>
  <c r="M135" i="1" s="1"/>
  <c r="P131" i="1"/>
  <c r="N131" i="1" s="1"/>
  <c r="M131" i="1" s="1"/>
  <c r="N127" i="1"/>
  <c r="M127" i="1" s="1"/>
  <c r="N123" i="1"/>
  <c r="M123" i="1" s="1"/>
  <c r="P113" i="1"/>
  <c r="N113" i="1" s="1"/>
  <c r="M113" i="1" s="1"/>
  <c r="P109" i="1"/>
  <c r="N109" i="1" s="1"/>
  <c r="M109" i="1" s="1"/>
  <c r="N105" i="1"/>
  <c r="M105" i="1" s="1"/>
  <c r="P101" i="1"/>
  <c r="N101" i="1" s="1"/>
  <c r="M101" i="1" s="1"/>
  <c r="N95" i="1"/>
  <c r="M95" i="1" s="1"/>
  <c r="P90" i="1"/>
  <c r="N90" i="1" s="1"/>
  <c r="M90" i="1" s="1"/>
  <c r="P86" i="1"/>
  <c r="N86" i="1" s="1"/>
  <c r="M86" i="1" s="1"/>
  <c r="N82" i="1"/>
  <c r="M82" i="1" s="1"/>
  <c r="N74" i="1"/>
  <c r="M74" i="1" s="1"/>
  <c r="N66" i="1"/>
  <c r="M66" i="1" s="1"/>
  <c r="P61" i="1"/>
  <c r="N61" i="1" s="1"/>
  <c r="M61" i="1" s="1"/>
  <c r="P57" i="1"/>
  <c r="N57" i="1" s="1"/>
  <c r="M57" i="1" s="1"/>
  <c r="N52" i="1"/>
  <c r="M52" i="1" s="1"/>
  <c r="P38" i="1"/>
  <c r="N38" i="1" s="1"/>
  <c r="M38" i="1" s="1"/>
  <c r="P34" i="1"/>
  <c r="N30" i="1"/>
  <c r="M30" i="1" s="1"/>
  <c r="P21" i="1"/>
  <c r="N21" i="1" s="1"/>
  <c r="M21" i="1" s="1"/>
  <c r="P17" i="1"/>
  <c r="N17" i="1" s="1"/>
  <c r="M17" i="1" s="1"/>
  <c r="N13" i="1"/>
  <c r="M13" i="1" s="1"/>
  <c r="N4" i="1"/>
  <c r="M4" i="1" s="1"/>
  <c r="N137" i="1"/>
  <c r="N115" i="1"/>
  <c r="M115" i="1" s="1"/>
  <c r="N111" i="1"/>
  <c r="M111" i="1" s="1"/>
  <c r="N104" i="1"/>
  <c r="M104" i="1" s="1"/>
  <c r="N81" i="1"/>
  <c r="M81" i="1" s="1"/>
  <c r="N48" i="1"/>
  <c r="M48" i="1" s="1"/>
  <c r="N44" i="1"/>
  <c r="M44" i="1" s="1"/>
  <c r="N37" i="1"/>
  <c r="M37" i="1" s="1"/>
  <c r="N26" i="1"/>
  <c r="M26" i="1" s="1"/>
  <c r="N19" i="1"/>
  <c r="M19" i="1" s="1"/>
  <c r="N15" i="1"/>
  <c r="M15" i="1" s="1"/>
  <c r="N176" i="1"/>
  <c r="M176" i="1" s="1"/>
  <c r="N168" i="1"/>
  <c r="M168" i="1" s="1"/>
  <c r="N147" i="1"/>
  <c r="M147" i="1" s="1"/>
  <c r="N88" i="1"/>
  <c r="M88" i="1" s="1"/>
  <c r="N56" i="1"/>
  <c r="M56" i="1" s="1"/>
  <c r="N78" i="1"/>
  <c r="M78" i="1" s="1"/>
  <c r="N62" i="1"/>
  <c r="N138" i="1"/>
  <c r="M138" i="1" s="1"/>
  <c r="N34" i="1"/>
  <c r="M34" i="1" s="1"/>
  <c r="N112" i="1"/>
  <c r="M112" i="1" s="1"/>
  <c r="N165" i="1"/>
  <c r="M165" i="1" s="1"/>
  <c r="N83" i="1"/>
  <c r="M83" i="1" s="1"/>
  <c r="N170" i="1"/>
  <c r="M170" i="1" s="1"/>
  <c r="N94" i="1"/>
  <c r="M94" i="1" s="1"/>
  <c r="N149" i="1"/>
  <c r="M149" i="1" s="1"/>
  <c r="N45" i="1"/>
  <c r="M45" i="1" s="1"/>
  <c r="N50" i="1"/>
  <c r="M50" i="1" s="1"/>
  <c r="N133" i="1"/>
  <c r="M133" i="1" s="1"/>
  <c r="N117" i="1"/>
  <c r="M117" i="1" s="1"/>
  <c r="G173" i="1"/>
  <c r="H173" i="1" s="1"/>
  <c r="H103" i="1"/>
  <c r="H172" i="1"/>
  <c r="F60" i="1"/>
  <c r="F62" i="1" s="1"/>
  <c r="F63" i="1"/>
  <c r="H63" i="1" s="1"/>
  <c r="H15" i="1"/>
  <c r="H4" i="1"/>
  <c r="H135" i="1"/>
  <c r="F134" i="1"/>
  <c r="H134" i="1" s="1"/>
  <c r="M63" i="1" l="1"/>
  <c r="M62" i="1"/>
  <c r="M137" i="1"/>
  <c r="M134" i="1"/>
  <c r="M60" i="1"/>
  <c r="F171" i="1"/>
  <c r="H171" i="1" s="1"/>
  <c r="F89" i="1"/>
  <c r="H89" i="1" s="1"/>
  <c r="F16" i="1"/>
  <c r="H16" i="1" s="1"/>
  <c r="F137" i="1"/>
  <c r="H137" i="1" s="1"/>
  <c r="H24" i="1"/>
  <c r="H42" i="1"/>
  <c r="H125" i="1"/>
  <c r="H43" i="1"/>
  <c r="G14" i="1"/>
  <c r="H14" i="1" s="1"/>
  <c r="H110" i="1"/>
  <c r="G156" i="1"/>
  <c r="H156" i="1" s="1"/>
  <c r="G154" i="1"/>
  <c r="H154" i="1" s="1"/>
  <c r="G152" i="1"/>
  <c r="H152" i="1" s="1"/>
  <c r="G158" i="1"/>
  <c r="H158" i="1" s="1"/>
  <c r="G159" i="1"/>
  <c r="H159" i="1" s="1"/>
  <c r="H157" i="1"/>
  <c r="H146" i="1"/>
  <c r="H161" i="1"/>
  <c r="H153" i="1"/>
  <c r="H143" i="1"/>
  <c r="H165" i="1"/>
  <c r="H169" i="1"/>
  <c r="H168" i="1"/>
  <c r="H167" i="1"/>
  <c r="H138" i="1"/>
  <c r="H166" i="1"/>
  <c r="H164" i="1"/>
  <c r="H163" i="1"/>
  <c r="H162" i="1"/>
  <c r="H144" i="1"/>
  <c r="H160" i="1"/>
  <c r="H145" i="1"/>
  <c r="H151" i="1"/>
  <c r="H150" i="1"/>
  <c r="H148" i="1"/>
  <c r="H149" i="1"/>
  <c r="H147" i="1"/>
  <c r="H142" i="1"/>
  <c r="H141" i="1"/>
  <c r="H139" i="1"/>
  <c r="H136" i="1"/>
  <c r="H155" i="1"/>
  <c r="H140" i="1"/>
  <c r="H124" i="1"/>
  <c r="H133" i="1"/>
  <c r="H132" i="1"/>
  <c r="H131" i="1"/>
  <c r="H130" i="1"/>
  <c r="H129" i="1"/>
  <c r="H128" i="1"/>
  <c r="H126" i="1"/>
  <c r="H127" i="1"/>
  <c r="H123" i="1"/>
  <c r="H122" i="1"/>
  <c r="H121" i="1"/>
  <c r="H120" i="1"/>
  <c r="H119" i="1"/>
  <c r="H118" i="1"/>
  <c r="H117" i="1"/>
  <c r="H116" i="1"/>
  <c r="H115" i="1"/>
  <c r="H114" i="1"/>
  <c r="H113" i="1"/>
  <c r="H41" i="1"/>
  <c r="H49" i="1"/>
  <c r="H5" i="1"/>
  <c r="H6" i="1"/>
  <c r="H8" i="1"/>
  <c r="H9" i="1"/>
  <c r="H10" i="1"/>
  <c r="H11" i="1"/>
  <c r="H12" i="1"/>
  <c r="H13" i="1"/>
  <c r="H17" i="1"/>
  <c r="H18" i="1"/>
  <c r="H19" i="1"/>
  <c r="H20" i="1"/>
  <c r="H21" i="1"/>
  <c r="H22" i="1"/>
  <c r="H23" i="1"/>
  <c r="H25" i="1"/>
  <c r="H26" i="1"/>
  <c r="H27" i="1"/>
  <c r="H28" i="1"/>
  <c r="H29" i="1"/>
  <c r="H30" i="1"/>
  <c r="H31" i="1"/>
  <c r="H32" i="1"/>
  <c r="H33" i="1"/>
  <c r="H34" i="1"/>
  <c r="H35" i="1"/>
  <c r="H36" i="1"/>
  <c r="H37" i="1"/>
  <c r="H38" i="1"/>
  <c r="H39" i="1"/>
  <c r="H40" i="1"/>
  <c r="H44" i="1"/>
  <c r="H45" i="1"/>
  <c r="H46" i="1"/>
  <c r="H47" i="1"/>
  <c r="H48" i="1"/>
  <c r="H50" i="1"/>
  <c r="H51" i="1"/>
  <c r="H52" i="1"/>
  <c r="H53" i="1"/>
  <c r="H55" i="1"/>
  <c r="H56" i="1"/>
  <c r="H57" i="1"/>
  <c r="H58" i="1"/>
  <c r="H59" i="1"/>
  <c r="H60" i="1"/>
  <c r="H61" i="1"/>
  <c r="H62" i="1"/>
  <c r="H64" i="1"/>
  <c r="H65" i="1"/>
  <c r="H66" i="1"/>
  <c r="H67" i="1"/>
  <c r="H68" i="1"/>
  <c r="H69" i="1"/>
  <c r="H70" i="1"/>
  <c r="H71" i="1"/>
  <c r="H72" i="1"/>
  <c r="H73" i="1"/>
  <c r="H74" i="1"/>
  <c r="H75" i="1"/>
  <c r="H76" i="1"/>
  <c r="H77" i="1"/>
  <c r="H78" i="1"/>
  <c r="H79" i="1"/>
  <c r="H80" i="1"/>
  <c r="H81" i="1"/>
  <c r="H82" i="1"/>
  <c r="H83" i="1"/>
  <c r="H84" i="1"/>
  <c r="H85" i="1"/>
  <c r="H86" i="1"/>
  <c r="H87" i="1"/>
  <c r="H88" i="1"/>
  <c r="H90" i="1"/>
  <c r="H91" i="1"/>
  <c r="H92" i="1"/>
  <c r="H93" i="1"/>
  <c r="H94" i="1"/>
  <c r="H95" i="1"/>
  <c r="H96" i="1"/>
  <c r="H97" i="1"/>
  <c r="H100" i="1"/>
  <c r="H101" i="1"/>
  <c r="H102" i="1"/>
  <c r="H107" i="1"/>
  <c r="H108" i="1"/>
  <c r="H109" i="1"/>
  <c r="H111" i="1"/>
  <c r="H3" i="1"/>
  <c r="M171" i="1" l="1"/>
  <c r="M159" i="1"/>
  <c r="M89" i="1"/>
  <c r="M14" i="1"/>
  <c r="M158" i="1"/>
  <c r="M156" i="1"/>
  <c r="M152" i="1"/>
  <c r="M16" i="1"/>
  <c r="M154" i="1"/>
</calcChain>
</file>

<file path=xl/sharedStrings.xml><?xml version="1.0" encoding="utf-8"?>
<sst xmlns="http://schemas.openxmlformats.org/spreadsheetml/2006/main" count="672" uniqueCount="277">
  <si>
    <t>Cliente</t>
  </si>
  <si>
    <t>Origen</t>
  </si>
  <si>
    <t>Tarifa</t>
  </si>
  <si>
    <t>Utilidad_Ida</t>
  </si>
  <si>
    <t>CORPESCA</t>
  </si>
  <si>
    <t>MEJILLONES</t>
  </si>
  <si>
    <t>CORONEL</t>
  </si>
  <si>
    <t>IQUIQUE</t>
  </si>
  <si>
    <t>PARGUA</t>
  </si>
  <si>
    <t>GOLDEN OMEGA</t>
  </si>
  <si>
    <t>ARICA</t>
  </si>
  <si>
    <t>TALCAHUANO</t>
  </si>
  <si>
    <t>SANTIAGO</t>
  </si>
  <si>
    <t>COQUIMBO</t>
  </si>
  <si>
    <t>ARSA</t>
  </si>
  <si>
    <t>PADRE HURTADO</t>
  </si>
  <si>
    <t>MALLOCO</t>
  </si>
  <si>
    <t>TALAGANTE</t>
  </si>
  <si>
    <t>PAINE</t>
  </si>
  <si>
    <t>MALLARAUCO</t>
  </si>
  <si>
    <t>ACULEO</t>
  </si>
  <si>
    <t>MELIPILLA</t>
  </si>
  <si>
    <t>RENGO</t>
  </si>
  <si>
    <t>ROSARIO</t>
  </si>
  <si>
    <t>NANCAGUA</t>
  </si>
  <si>
    <t>PICHIDEGUA</t>
  </si>
  <si>
    <t>TENO</t>
  </si>
  <si>
    <t>CURICO</t>
  </si>
  <si>
    <t>TALCA</t>
  </si>
  <si>
    <t>CHILLAN</t>
  </si>
  <si>
    <t>BULNES</t>
  </si>
  <si>
    <t>OSORNO</t>
  </si>
  <si>
    <t>CASTRO</t>
  </si>
  <si>
    <t>AQUACHILE</t>
  </si>
  <si>
    <t>AUSTRAL OILS</t>
  </si>
  <si>
    <t>ECOFOOD</t>
  </si>
  <si>
    <t>CISTERNAS</t>
  </si>
  <si>
    <t>DICOAL</t>
  </si>
  <si>
    <t>PROEX</t>
  </si>
  <si>
    <t>TRIO</t>
  </si>
  <si>
    <t>CALERA</t>
  </si>
  <si>
    <t>PATENTE</t>
  </si>
  <si>
    <t>FECHA</t>
  </si>
  <si>
    <t>HORA</t>
  </si>
  <si>
    <t>CLIENTE</t>
  </si>
  <si>
    <t>ORIGEN</t>
  </si>
  <si>
    <t>DESTINO</t>
  </si>
  <si>
    <t>DOCUMENTO</t>
  </si>
  <si>
    <t>TIPO</t>
  </si>
  <si>
    <t>TARIFA</t>
  </si>
  <si>
    <t>COSTO</t>
  </si>
  <si>
    <t>UTILIDAD</t>
  </si>
  <si>
    <t>DOCUMENTO_VUELTA</t>
  </si>
  <si>
    <t>TARIFA_VUELTA</t>
  </si>
  <si>
    <t>COSTO_VUELTA</t>
  </si>
  <si>
    <t>UTILIDAD_VUELTA</t>
  </si>
  <si>
    <t>UTILIDAD_TOTAL</t>
  </si>
  <si>
    <t>Parametro</t>
  </si>
  <si>
    <t>Valor</t>
  </si>
  <si>
    <t>OWNER_EMAIL</t>
  </si>
  <si>
    <t>pplesr@ditrucks.cl</t>
  </si>
  <si>
    <t>COMPANY_NAME</t>
  </si>
  <si>
    <t>DITrucks</t>
  </si>
  <si>
    <t>SAN ANTONIO</t>
  </si>
  <si>
    <t>LOS ANGELES</t>
  </si>
  <si>
    <t xml:space="preserve">Destino </t>
  </si>
  <si>
    <t xml:space="preserve">CORONEL </t>
  </si>
  <si>
    <t>FREIRE</t>
  </si>
  <si>
    <t>CASABLANCA</t>
  </si>
  <si>
    <t>VICTORIA</t>
  </si>
  <si>
    <t>CON-CON</t>
  </si>
  <si>
    <t>PEÑAFLOR</t>
  </si>
  <si>
    <t>SAN FERNANDO</t>
  </si>
  <si>
    <t>SAN BERNARDO</t>
  </si>
  <si>
    <t>MAIPU</t>
  </si>
  <si>
    <t>RANCAGUA</t>
  </si>
  <si>
    <t>RETIRO</t>
  </si>
  <si>
    <t>SAN FRANCISCO MOSTAZAL</t>
  </si>
  <si>
    <t xml:space="preserve">LAMPA </t>
  </si>
  <si>
    <t>LONGOVILO</t>
  </si>
  <si>
    <t>RWTK-87</t>
  </si>
  <si>
    <t>PRKV-34</t>
  </si>
  <si>
    <t>PFXZ-47</t>
  </si>
  <si>
    <t>RKSB-97</t>
  </si>
  <si>
    <t>RLCC-42</t>
  </si>
  <si>
    <t>LXWR-98</t>
  </si>
  <si>
    <t>LPHC-39</t>
  </si>
  <si>
    <t>RSCW-10</t>
  </si>
  <si>
    <t>SBFY-23</t>
  </si>
  <si>
    <t>SLTL-30</t>
  </si>
  <si>
    <t>SKKL-99</t>
  </si>
  <si>
    <t>SKKL-93</t>
  </si>
  <si>
    <t>SJRL-66</t>
  </si>
  <si>
    <t>SCGJ-93</t>
  </si>
  <si>
    <t>KKLL-43</t>
  </si>
  <si>
    <t>TVBY-30</t>
  </si>
  <si>
    <t>SXGF-92</t>
  </si>
  <si>
    <t>PRKV-29</t>
  </si>
  <si>
    <t>RYVJ-39</t>
  </si>
  <si>
    <t>CWFW-58</t>
  </si>
  <si>
    <t>BLPK-47</t>
  </si>
  <si>
    <t>JKZB-51</t>
  </si>
  <si>
    <t>DKLZ-55</t>
  </si>
  <si>
    <t>DRBX-48</t>
  </si>
  <si>
    <t>FFZZ-14</t>
  </si>
  <si>
    <t>FPZY-84</t>
  </si>
  <si>
    <t>HZGZ-51</t>
  </si>
  <si>
    <t>LCPX-53</t>
  </si>
  <si>
    <t>GWKV-11</t>
  </si>
  <si>
    <t>RVTZ-27</t>
  </si>
  <si>
    <t>PWWL-27</t>
  </si>
  <si>
    <t>KDHP-80</t>
  </si>
  <si>
    <t>KYPB-20</t>
  </si>
  <si>
    <t>PWYX-59</t>
  </si>
  <si>
    <t>PTYH-26</t>
  </si>
  <si>
    <t>KYPB-19</t>
  </si>
  <si>
    <t>HGLZ-44</t>
  </si>
  <si>
    <t>PWWL-26</t>
  </si>
  <si>
    <t>PWYX-58</t>
  </si>
  <si>
    <t>PWYX-60</t>
  </si>
  <si>
    <t>PTYH-25</t>
  </si>
  <si>
    <t>PWYX57</t>
  </si>
  <si>
    <t>PWYX56</t>
  </si>
  <si>
    <t>PWYX-55</t>
  </si>
  <si>
    <t>PXHW43</t>
  </si>
  <si>
    <t>PWTT-70</t>
  </si>
  <si>
    <t>PXHV-69</t>
  </si>
  <si>
    <t>PWVK47</t>
  </si>
  <si>
    <t>GRDP-25</t>
  </si>
  <si>
    <t>JK-2889</t>
  </si>
  <si>
    <t>JC-9898</t>
  </si>
  <si>
    <t>GRDP-50</t>
  </si>
  <si>
    <t>JH-2097</t>
  </si>
  <si>
    <t>HXGJ18</t>
  </si>
  <si>
    <t>KHDP79</t>
  </si>
  <si>
    <t>KYLY-48</t>
  </si>
  <si>
    <t>JN-3232</t>
  </si>
  <si>
    <t>HXDF-23</t>
  </si>
  <si>
    <t>JN-1324</t>
  </si>
  <si>
    <t>CONDUCTOR</t>
  </si>
  <si>
    <t>VLADEMIR PIZARRO</t>
  </si>
  <si>
    <t>JULIO VARGAS</t>
  </si>
  <si>
    <t>SANTIAGO COILLA</t>
  </si>
  <si>
    <t>NELSON CARDENAS</t>
  </si>
  <si>
    <t>HECTOR CONTRERAS</t>
  </si>
  <si>
    <t>FERNANDO HURTADO</t>
  </si>
  <si>
    <t>JUAN PAULO TRONCOSO</t>
  </si>
  <si>
    <t>JOSE LUIS LOPEZ</t>
  </si>
  <si>
    <t>JUAN ESPINOSA</t>
  </si>
  <si>
    <t>JULIO SAN MARTIN</t>
  </si>
  <si>
    <t>JOSE FIGUEROA</t>
  </si>
  <si>
    <t>ENRIQUE MOYA</t>
  </si>
  <si>
    <t>BORIS URZUA</t>
  </si>
  <si>
    <t>MAURICIO GUERRERO</t>
  </si>
  <si>
    <t>JORGE ROJAS</t>
  </si>
  <si>
    <t>JULIO GONZALEZ</t>
  </si>
  <si>
    <t>GERARDO OYARZO</t>
  </si>
  <si>
    <t>MAURICIO PEZOA</t>
  </si>
  <si>
    <t>CARLOS CELEDON</t>
  </si>
  <si>
    <t>KURT GROGG</t>
  </si>
  <si>
    <t>PATRICIO PINO</t>
  </si>
  <si>
    <t>FRANCISCO CASTRO</t>
  </si>
  <si>
    <t>EDUARDO ROMERO</t>
  </si>
  <si>
    <t>MANUEL ARAYA</t>
  </si>
  <si>
    <t>ALEX FREDES</t>
  </si>
  <si>
    <t>GABRIEL URZUA</t>
  </si>
  <si>
    <t>HERNAN LIZAMA</t>
  </si>
  <si>
    <t>FRANCISCO VARGAS</t>
  </si>
  <si>
    <t>MIGUEL ARRIAGADA</t>
  </si>
  <si>
    <t>PEDRO</t>
  </si>
  <si>
    <t>PATENTE CAMION</t>
  </si>
  <si>
    <t>PATENTE ACOPLADO</t>
  </si>
  <si>
    <t>LAMPA</t>
  </si>
  <si>
    <t>Tarifa x ton</t>
  </si>
  <si>
    <t>CALBUCO</t>
  </si>
  <si>
    <t>LLANQUIHUE</t>
  </si>
  <si>
    <t>LA PORTADA</t>
  </si>
  <si>
    <t>KMS</t>
  </si>
  <si>
    <t>Gasto_Tramo</t>
  </si>
  <si>
    <t>Gasto_tramo</t>
  </si>
  <si>
    <t>ABIO</t>
  </si>
  <si>
    <t xml:space="preserve">ABIO </t>
  </si>
  <si>
    <t>OLEOTOP</t>
  </si>
  <si>
    <t>WATTS</t>
  </si>
  <si>
    <t>LONTUE</t>
  </si>
  <si>
    <t>FRAGUS</t>
  </si>
  <si>
    <t>CHILEMINK</t>
  </si>
  <si>
    <t>IDAL</t>
  </si>
  <si>
    <t>MELIFEED</t>
  </si>
  <si>
    <t>OTEY</t>
  </si>
  <si>
    <t>RENDERING</t>
  </si>
  <si>
    <t>AUSTRAL CHEMICAL</t>
  </si>
  <si>
    <t>PROEX PLANAS</t>
  </si>
  <si>
    <t>LO MIRANDA (Rancagua)</t>
  </si>
  <si>
    <t>CHILEMINK (San Francisco de Mostazal)</t>
  </si>
  <si>
    <t>ECOFOOD (RETIRO)</t>
  </si>
  <si>
    <t>CAMILO FERRON (SANTIAGO)</t>
  </si>
  <si>
    <t>OTEY (CORONEL)</t>
  </si>
  <si>
    <t>MELIFEED (MELIPILLA)</t>
  </si>
  <si>
    <t>WATTS (SAN BERNARDO)</t>
  </si>
  <si>
    <t>IDAL (PAINE)</t>
  </si>
  <si>
    <t>OVOTRADING (MELIPILLA)</t>
  </si>
  <si>
    <t>COEXCA (TALCA)</t>
  </si>
  <si>
    <t>RENDERING (LAMPA)</t>
  </si>
  <si>
    <t>AUSTRAL CHEMICAL (SANTIAGO)</t>
  </si>
  <si>
    <t>CAUPOLICAN (RENGO)</t>
  </si>
  <si>
    <t>NUTRICION BALANCEADA (LAMPA)</t>
  </si>
  <si>
    <t>CAROZZI (LONTUE)</t>
  </si>
  <si>
    <t>CHOROMBO (ISLA DE MAIPO)</t>
  </si>
  <si>
    <t>LDA (PAINE)</t>
  </si>
  <si>
    <t>CISTERNAS / IDAL (PAINE)</t>
  </si>
  <si>
    <t>QUANTUM (CASABLANCA)</t>
  </si>
  <si>
    <t>DICOAL (PEÑAFLOR)</t>
  </si>
  <si>
    <t>LOS TILOS (PAINE)</t>
  </si>
  <si>
    <t>FUTAGRO (PEÑAFLOR)</t>
  </si>
  <si>
    <t>CATEMITO (SAN BERNARDO)</t>
  </si>
  <si>
    <t>ALIMENTOS CISTERNAS (PAINE)</t>
  </si>
  <si>
    <t>EXTRUDER (PAINE)</t>
  </si>
  <si>
    <t>MOLINO CAUPOLICAN (RENGO)</t>
  </si>
  <si>
    <t>FRAGUS (SAN BERNARDO)</t>
  </si>
  <si>
    <t>EL PEUMO (CHILLAN)</t>
  </si>
  <si>
    <t>FLETE INTERNO (SAN FRANCISCO DE MOSTAZAL)</t>
  </si>
  <si>
    <t>RETORNO CAROZZI/ECO-SPE (LONTUE)</t>
  </si>
  <si>
    <t>NESTLE (TENO)</t>
  </si>
  <si>
    <t>LDA (ANGOSTURA)</t>
  </si>
  <si>
    <t>CHAMPION (PEÑAFLOR)</t>
  </si>
  <si>
    <t>BIOMAR SIN RETORNO (PARGUA)</t>
  </si>
  <si>
    <t>BIOMAR CON RETORNO (PARGUA)</t>
  </si>
  <si>
    <t>TRIO (MAIPU)</t>
  </si>
  <si>
    <t>SANTA MARTA LIRAY (COLINA)</t>
  </si>
  <si>
    <t xml:space="preserve">EL MONTE </t>
  </si>
  <si>
    <t>LOS TILOS EL MONTE</t>
  </si>
  <si>
    <t>ARIZONA (QUILPUE)</t>
  </si>
  <si>
    <t>EL YUGO (QUILPUE)</t>
  </si>
  <si>
    <t>CHOROMBO (MELIPILLA)</t>
  </si>
  <si>
    <t>HORIZONTE (QUILPUE)</t>
  </si>
  <si>
    <t>SABORAID PET (LAMPA)</t>
  </si>
  <si>
    <t>LA MONTAÑA (TENO)</t>
  </si>
  <si>
    <t>SAN FRANCISCO DE MOSTAZAL</t>
  </si>
  <si>
    <t>VIZCAYA (RENGO)</t>
  </si>
  <si>
    <t>AGRICOVIAL (PAINE)</t>
  </si>
  <si>
    <t>RETORNO BIOMAR-ECO-SPE (LONTUE)</t>
  </si>
  <si>
    <t>GALDACANO (REQUINOA)</t>
  </si>
  <si>
    <t>PROEX RETORNO (SAN FRANCISCO DE MOSTAZAL)</t>
  </si>
  <si>
    <t>SALMONES ANTARTICA (LOS ANGELES)</t>
  </si>
  <si>
    <t>AGROSUPER (LA ESTRELLA)</t>
  </si>
  <si>
    <t>CLUSTER</t>
  </si>
  <si>
    <t>CRM (CHILLAN)</t>
  </si>
  <si>
    <t>SANTIAGO (retorno)</t>
  </si>
  <si>
    <t>CALDERA</t>
  </si>
  <si>
    <t>RENDER TRADE</t>
  </si>
  <si>
    <t xml:space="preserve">TALCAHUANO </t>
  </si>
  <si>
    <t>SANTIAGO (vacio)</t>
  </si>
  <si>
    <t>TEAMS</t>
  </si>
  <si>
    <t>BRASIL</t>
  </si>
  <si>
    <t>Tarifa Tercero</t>
  </si>
  <si>
    <t>Utilidad con tercero</t>
  </si>
  <si>
    <t>CORPESCA LOCAL</t>
  </si>
  <si>
    <t>Quilpue</t>
  </si>
  <si>
    <t>PORTLAND</t>
  </si>
  <si>
    <t>EL MONTE</t>
  </si>
  <si>
    <t>Gasto Real</t>
  </si>
  <si>
    <t>Rendimiento</t>
  </si>
  <si>
    <t>Precio Diesel</t>
  </si>
  <si>
    <t>Costo Kms</t>
  </si>
  <si>
    <t>Mantenimiento</t>
  </si>
  <si>
    <t>Neumaticos</t>
  </si>
  <si>
    <t>Semi</t>
  </si>
  <si>
    <t>Tracto</t>
  </si>
  <si>
    <t>Peajes</t>
  </si>
  <si>
    <t>Consumo</t>
  </si>
  <si>
    <t>Total Real</t>
  </si>
  <si>
    <t>Diferencia</t>
  </si>
  <si>
    <t>SEMILLAS DEL MAR</t>
  </si>
  <si>
    <t>WATTS SAN BERNARDO</t>
  </si>
  <si>
    <t>CAMILO FERRON</t>
  </si>
  <si>
    <t xml:space="preserve">SANTIAGO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</si>
</sst>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1" formatCode="_ * #,##0_ ;_ * \-#,##0_ ;_ * &quot;-&quot;_ ;_ @_ "/>
    <numFmt numFmtId="164" formatCode="_-&quot;$&quot;* #,##0_-;\-&quot;$&quot;* #,##0_-;_-&quot;$&quot;* &quot;-&quot;_-;_-@_-"/>
    <numFmt numFmtId="165" formatCode="_-&quot;$&quot;* #,##0.00_-;\-&quot;$&quot;* #,##0.00_-;_-&quot;$&quot;* &quot;-&quot;_-;_-@_-"/>
  </numFmts>
  <fonts count="7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sz val="14"/>
      <color theme="1"/>
      <name val="Calibri"/>
      <family val="2"/>
    </font>
    <font>
      <sz val="11"/>
      <color rgb="FF000000"/>
      <name val="Calibri"/>
      <family val="2"/>
      <scheme val="minor"/>
    </font>
    <font>
      <b/>
      <sz val="11"/>
      <color rgb="FF000000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0" tint="-0.14999847407452621"/>
        <bgColor indexed="64"/>
      </patternFill>
    </fill>
    <fill>
      <patternFill patternType="solid">
        <fgColor rgb="FFD9D9D9"/>
        <bgColor rgb="FF000000"/>
      </patternFill>
    </fill>
    <fill>
      <patternFill patternType="solid">
        <fgColor rgb="FFFFFF0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3">
    <xf numFmtId="0" fontId="0" fillId="0" borderId="0"/>
    <xf numFmtId="164" fontId="1" fillId="0" borderId="0" applyFont="0" applyFill="0" applyBorder="0" applyAlignment="0" applyProtection="0"/>
    <xf numFmtId="41" fontId="1" fillId="0" borderId="0" applyFont="0" applyFill="0" applyBorder="0" applyAlignment="0" applyProtection="0"/>
  </cellStyleXfs>
  <cellXfs count="32">
    <xf numFmtId="0" fontId="0" fillId="0" borderId="0" xfId="0"/>
    <xf numFmtId="0" fontId="2" fillId="0" borderId="0" xfId="0" applyFont="1"/>
    <xf numFmtId="0" fontId="2" fillId="2" borderId="0" xfId="0" applyFont="1" applyFill="1"/>
    <xf numFmtId="0" fontId="0" fillId="3" borderId="1" xfId="0" applyFill="1" applyBorder="1"/>
    <xf numFmtId="0" fontId="4" fillId="0" borderId="0" xfId="0" applyFont="1" applyAlignment="1">
      <alignment horizontal="left"/>
    </xf>
    <xf numFmtId="0" fontId="0" fillId="0" borderId="0" xfId="0" applyAlignment="1">
      <alignment horizontal="left"/>
    </xf>
    <xf numFmtId="0" fontId="3" fillId="0" borderId="2" xfId="0" applyFont="1" applyBorder="1" applyAlignment="1">
      <alignment horizontal="left"/>
    </xf>
    <xf numFmtId="0" fontId="3" fillId="0" borderId="3" xfId="0" applyFont="1" applyBorder="1" applyAlignment="1">
      <alignment horizontal="left"/>
    </xf>
    <xf numFmtId="0" fontId="3" fillId="0" borderId="4" xfId="0" applyFont="1" applyBorder="1" applyAlignment="1">
      <alignment horizontal="left"/>
    </xf>
    <xf numFmtId="0" fontId="4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left"/>
    </xf>
    <xf numFmtId="0" fontId="2" fillId="0" borderId="1" xfId="0" applyFont="1" applyBorder="1"/>
    <xf numFmtId="0" fontId="2" fillId="0" borderId="0" xfId="0" applyFont="1" applyAlignment="1">
      <alignment horizontal="left"/>
    </xf>
    <xf numFmtId="0" fontId="0" fillId="3" borderId="1" xfId="0" applyFill="1" applyBorder="1" applyAlignment="1">
      <alignment horizontal="left"/>
    </xf>
    <xf numFmtId="164" fontId="0" fillId="3" borderId="1" xfId="1" applyFont="1" applyFill="1" applyBorder="1" applyAlignment="1">
      <alignment horizontal="left"/>
    </xf>
    <xf numFmtId="165" fontId="2" fillId="0" borderId="0" xfId="0" applyNumberFormat="1" applyFont="1" applyAlignment="1">
      <alignment horizontal="left"/>
    </xf>
    <xf numFmtId="165" fontId="0" fillId="3" borderId="1" xfId="1" applyNumberFormat="1" applyFont="1" applyFill="1" applyBorder="1" applyAlignment="1">
      <alignment horizontal="left"/>
    </xf>
    <xf numFmtId="165" fontId="0" fillId="0" borderId="0" xfId="0" applyNumberFormat="1" applyAlignment="1">
      <alignment horizontal="left"/>
    </xf>
    <xf numFmtId="0" fontId="6" fillId="0" borderId="0" xfId="0" applyFont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5" fillId="4" borderId="5" xfId="0" applyFont="1" applyFill="1" applyBorder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/>
    <xf numFmtId="41" fontId="2" fillId="0" borderId="0" xfId="2" applyFont="1"/>
    <xf numFmtId="41" fontId="0" fillId="0" borderId="0" xfId="0" applyNumberFormat="1"/>
    <xf numFmtId="164" fontId="0" fillId="0" borderId="0" xfId="1" applyFont="1"/>
    <xf numFmtId="41" fontId="0" fillId="0" borderId="0" xfId="2" applyFont="1"/>
    <xf numFmtId="164" fontId="2" fillId="0" borderId="0" xfId="1" applyFont="1" applyAlignment="1">
      <alignment horizontal="left"/>
    </xf>
    <xf numFmtId="164" fontId="0" fillId="0" borderId="0" xfId="1" applyFont="1" applyAlignment="1">
      <alignment horizontal="left"/>
    </xf>
    <xf numFmtId="0" fontId="2" fillId="0" borderId="0" xfId="0" applyFont="1" applyAlignment="1">
      <alignment horizontal="center"/>
    </xf>
    <xf numFmtId="0" fontId="2" fillId="5" borderId="0" xfId="0" applyFont="1" applyFill="1" applyAlignment="1">
      <alignment horizontal="center"/>
    </xf>
    <xf numFmtId="164" fontId="2" fillId="0" borderId="0" xfId="1" applyFont="1"/>
  </cellXfs>
  <cellStyles count="3">
    <cellStyle name="Millares [0]" xfId="2" builtinId="6"/>
    <cellStyle name="Moneda [0]" xfId="1" builtinId="7"/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H191"/>
  <sheetViews>
    <sheetView tabSelected="1" topLeftCell="A49" zoomScale="142" zoomScaleNormal="142" workbookViewId="0">
      <selection activeCell="A54" sqref="A54"/>
    </sheetView>
  </sheetViews>
  <sheetFormatPr baseColWidth="10" defaultColWidth="8.7109375" defaultRowHeight="15" x14ac:dyDescent="0.25"/>
  <cols>
    <col min="1" max="1" width="17.7109375" bestFit="1" customWidth="1"/>
    <col min="2" max="2" width="35.85546875" style="5" bestFit="1" customWidth="1"/>
    <col min="3" max="3" width="45.5703125" style="5" bestFit="1" customWidth="1"/>
    <col min="4" max="4" width="25" style="5" bestFit="1" customWidth="1"/>
    <col min="5" max="5" width="14.28515625" style="17" customWidth="1"/>
    <col min="6" max="6" width="12.7109375" style="5" customWidth="1"/>
    <col min="7" max="7" width="13.85546875" style="5" customWidth="1"/>
    <col min="8" max="8" width="12" style="5" customWidth="1"/>
    <col min="9" max="9" width="18.85546875" style="21" customWidth="1"/>
    <col min="10" max="10" width="13.85546875" style="28" customWidth="1"/>
    <col min="11" max="11" width="17.7109375" customWidth="1"/>
    <col min="12" max="12" width="10.42578125" customWidth="1"/>
    <col min="13" max="14" width="13.140625" bestFit="1" customWidth="1"/>
    <col min="15" max="15" width="12" bestFit="1" customWidth="1"/>
    <col min="16" max="16" width="14.140625" bestFit="1" customWidth="1"/>
    <col min="17" max="17" width="12" customWidth="1"/>
    <col min="18" max="19" width="11.7109375" bestFit="1" customWidth="1"/>
    <col min="20" max="20" width="14.140625" bestFit="1" customWidth="1"/>
    <col min="21" max="21" width="11" bestFit="1" customWidth="1"/>
    <col min="22" max="22" width="5.140625" bestFit="1" customWidth="1"/>
    <col min="23" max="23" width="6.28515625" bestFit="1" customWidth="1"/>
  </cols>
  <sheetData>
    <row r="1" spans="1:34" x14ac:dyDescent="0.25">
      <c r="T1" s="1" t="s">
        <v>265</v>
      </c>
    </row>
    <row r="2" spans="1:34" x14ac:dyDescent="0.25">
      <c r="A2" s="11" t="s">
        <v>0</v>
      </c>
      <c r="B2" s="12" t="s">
        <v>1</v>
      </c>
      <c r="C2" s="12" t="s">
        <v>65</v>
      </c>
      <c r="D2" s="12" t="s">
        <v>2</v>
      </c>
      <c r="E2" s="15" t="s">
        <v>173</v>
      </c>
      <c r="F2" s="12" t="s">
        <v>178</v>
      </c>
      <c r="G2" s="12" t="s">
        <v>179</v>
      </c>
      <c r="H2" s="12" t="s">
        <v>3</v>
      </c>
      <c r="I2" s="18" t="s">
        <v>177</v>
      </c>
      <c r="J2" s="27" t="s">
        <v>255</v>
      </c>
      <c r="K2" s="12" t="s">
        <v>256</v>
      </c>
      <c r="L2" s="12" t="s">
        <v>261</v>
      </c>
      <c r="M2" s="30" t="s">
        <v>272</v>
      </c>
      <c r="N2" s="1" t="s">
        <v>271</v>
      </c>
      <c r="O2" s="1" t="s">
        <v>270</v>
      </c>
      <c r="P2" s="1" t="s">
        <v>265</v>
      </c>
      <c r="Q2" s="1" t="s">
        <v>269</v>
      </c>
      <c r="R2" s="29" t="s">
        <v>262</v>
      </c>
      <c r="S2" s="29" t="s">
        <v>263</v>
      </c>
      <c r="T2" s="29" t="s">
        <v>264</v>
      </c>
      <c r="U2" s="29" t="s">
        <v>266</v>
      </c>
      <c r="V2" s="29" t="s">
        <v>267</v>
      </c>
      <c r="W2" s="29" t="s">
        <v>268</v>
      </c>
      <c r="X2" s="1"/>
      <c r="Y2" s="1"/>
      <c r="Z2" s="1"/>
      <c r="AA2" s="1"/>
      <c r="AB2" s="1"/>
      <c r="AC2" s="1"/>
      <c r="AD2" s="1"/>
      <c r="AE2" s="1"/>
      <c r="AF2" s="1"/>
      <c r="AG2" s="1"/>
      <c r="AH2" s="1"/>
    </row>
    <row r="3" spans="1:34" x14ac:dyDescent="0.25">
      <c r="A3" s="3" t="s">
        <v>4</v>
      </c>
      <c r="B3" s="13" t="s">
        <v>7</v>
      </c>
      <c r="C3" s="13" t="s">
        <v>6</v>
      </c>
      <c r="D3" s="14">
        <v>4676000</v>
      </c>
      <c r="E3" s="16"/>
      <c r="F3" s="14"/>
      <c r="G3" s="14">
        <v>1809300</v>
      </c>
      <c r="H3" s="14">
        <f>+D3-F3-G3</f>
        <v>2866700</v>
      </c>
      <c r="I3" s="19">
        <v>2300</v>
      </c>
      <c r="M3" s="22">
        <f>+F3+G3-N3</f>
        <v>278300</v>
      </c>
      <c r="N3" s="25">
        <f>+SUM(O3:Q3)</f>
        <v>1531000</v>
      </c>
      <c r="O3" s="25">
        <f>+I3/$R$3*$S$3</f>
        <v>1104000</v>
      </c>
      <c r="P3" s="31">
        <f>+I3*$T$3</f>
        <v>207000</v>
      </c>
      <c r="Q3" s="22">
        <v>220000</v>
      </c>
      <c r="R3" s="1">
        <v>2.5</v>
      </c>
      <c r="S3" s="1">
        <v>1200</v>
      </c>
      <c r="T3" s="1">
        <f>+SUM(U3:W3)</f>
        <v>90</v>
      </c>
      <c r="U3" s="1">
        <v>10</v>
      </c>
      <c r="V3" s="1">
        <v>20</v>
      </c>
      <c r="W3" s="1">
        <v>60</v>
      </c>
      <c r="X3" s="1"/>
      <c r="Y3" s="1"/>
      <c r="Z3" s="1"/>
      <c r="AA3" s="1"/>
      <c r="AB3" s="1"/>
      <c r="AC3" s="1"/>
      <c r="AD3" s="1"/>
      <c r="AE3" s="1"/>
      <c r="AF3" s="1"/>
      <c r="AG3" s="1"/>
      <c r="AH3" s="1"/>
    </row>
    <row r="4" spans="1:34" x14ac:dyDescent="0.25">
      <c r="A4" s="3" t="s">
        <v>4</v>
      </c>
      <c r="B4" s="13" t="s">
        <v>7</v>
      </c>
      <c r="C4" s="13" t="s">
        <v>10</v>
      </c>
      <c r="D4" s="14">
        <v>780000</v>
      </c>
      <c r="E4" s="16"/>
      <c r="F4" s="14"/>
      <c r="G4" s="14">
        <v>200775</v>
      </c>
      <c r="H4" s="14">
        <f>+D4-F4-G4</f>
        <v>579225</v>
      </c>
      <c r="I4" s="20">
        <v>315</v>
      </c>
      <c r="K4" s="1"/>
      <c r="L4" s="1"/>
      <c r="M4" s="22">
        <f t="shared" ref="M4:M68" si="0">+F4+G4-N4</f>
        <v>-43875</v>
      </c>
      <c r="N4" s="25">
        <f t="shared" ref="N4:N68" si="1">+SUM(O4:Q4)</f>
        <v>244650</v>
      </c>
      <c r="O4" s="25">
        <f t="shared" ref="O4:O68" si="2">+I4/$R$3*$S$3</f>
        <v>151200</v>
      </c>
      <c r="P4" s="31">
        <f t="shared" ref="P4:P68" si="3">+I4*$T$3</f>
        <v>28350</v>
      </c>
      <c r="Q4" s="22">
        <v>65100</v>
      </c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</row>
    <row r="5" spans="1:34" x14ac:dyDescent="0.25">
      <c r="A5" s="3" t="s">
        <v>4</v>
      </c>
      <c r="B5" s="13" t="s">
        <v>5</v>
      </c>
      <c r="C5" s="13" t="s">
        <v>66</v>
      </c>
      <c r="D5" s="14">
        <v>4508000</v>
      </c>
      <c r="E5" s="16"/>
      <c r="F5" s="14"/>
      <c r="G5" s="14">
        <v>1577450</v>
      </c>
      <c r="H5" s="14">
        <f t="shared" ref="H5:H74" si="4">+D5-F5-G5</f>
        <v>2930550</v>
      </c>
      <c r="I5" s="20">
        <v>1950</v>
      </c>
      <c r="M5" s="22">
        <f t="shared" si="0"/>
        <v>235950</v>
      </c>
      <c r="N5" s="25">
        <f t="shared" si="1"/>
        <v>1341500</v>
      </c>
      <c r="O5" s="25">
        <f t="shared" si="2"/>
        <v>936000</v>
      </c>
      <c r="P5" s="31">
        <f t="shared" si="3"/>
        <v>175500</v>
      </c>
      <c r="Q5" s="22">
        <v>230000</v>
      </c>
    </row>
    <row r="6" spans="1:34" x14ac:dyDescent="0.25">
      <c r="A6" s="3" t="s">
        <v>4</v>
      </c>
      <c r="B6" s="13" t="s">
        <v>7</v>
      </c>
      <c r="C6" s="13" t="s">
        <v>8</v>
      </c>
      <c r="D6" s="14">
        <v>5733420</v>
      </c>
      <c r="E6" s="16"/>
      <c r="F6" s="14"/>
      <c r="G6" s="14">
        <v>2399350</v>
      </c>
      <c r="H6" s="14">
        <f t="shared" si="4"/>
        <v>3334070</v>
      </c>
      <c r="I6" s="20">
        <v>2850</v>
      </c>
      <c r="M6" s="22">
        <f t="shared" si="0"/>
        <v>455750</v>
      </c>
      <c r="N6" s="25">
        <f t="shared" si="1"/>
        <v>1943600</v>
      </c>
      <c r="O6" s="25">
        <f t="shared" si="2"/>
        <v>1368000</v>
      </c>
      <c r="P6" s="31">
        <f t="shared" si="3"/>
        <v>256500</v>
      </c>
      <c r="Q6" s="22">
        <f>+Q3+Q100</f>
        <v>319100</v>
      </c>
    </row>
    <row r="7" spans="1:34" x14ac:dyDescent="0.25">
      <c r="A7" s="3" t="s">
        <v>257</v>
      </c>
      <c r="B7" s="13" t="s">
        <v>7</v>
      </c>
      <c r="C7" s="13" t="s">
        <v>7</v>
      </c>
      <c r="D7" s="14">
        <v>1000000</v>
      </c>
      <c r="E7" s="16"/>
      <c r="F7" s="14"/>
      <c r="G7" s="14">
        <f>+I7*800</f>
        <v>128000</v>
      </c>
      <c r="H7" s="14">
        <f t="shared" si="4"/>
        <v>872000</v>
      </c>
      <c r="I7" s="20">
        <f>16*10</f>
        <v>160</v>
      </c>
      <c r="M7" s="22">
        <f t="shared" si="0"/>
        <v>36800</v>
      </c>
      <c r="N7" s="25">
        <f t="shared" si="1"/>
        <v>91200</v>
      </c>
      <c r="O7" s="25">
        <f t="shared" si="2"/>
        <v>76800</v>
      </c>
      <c r="P7" s="31">
        <f t="shared" si="3"/>
        <v>14400</v>
      </c>
      <c r="Q7" s="22">
        <v>0</v>
      </c>
    </row>
    <row r="8" spans="1:34" x14ac:dyDescent="0.25">
      <c r="A8" s="3" t="s">
        <v>9</v>
      </c>
      <c r="B8" s="13" t="s">
        <v>10</v>
      </c>
      <c r="C8" s="13" t="s">
        <v>11</v>
      </c>
      <c r="D8" s="14">
        <v>4725729</v>
      </c>
      <c r="E8" s="16"/>
      <c r="F8" s="14"/>
      <c r="G8" s="14">
        <v>2011601</v>
      </c>
      <c r="H8" s="14">
        <f t="shared" si="4"/>
        <v>2714128</v>
      </c>
      <c r="I8" s="20">
        <v>2600</v>
      </c>
      <c r="M8" s="22">
        <f t="shared" si="0"/>
        <v>314601</v>
      </c>
      <c r="N8" s="25">
        <f t="shared" si="1"/>
        <v>1697000</v>
      </c>
      <c r="O8" s="25">
        <f t="shared" si="2"/>
        <v>1248000</v>
      </c>
      <c r="P8" s="31">
        <f t="shared" si="3"/>
        <v>234000</v>
      </c>
      <c r="Q8" s="22">
        <v>215000</v>
      </c>
    </row>
    <row r="9" spans="1:34" x14ac:dyDescent="0.25">
      <c r="A9" s="3" t="s">
        <v>9</v>
      </c>
      <c r="B9" s="13" t="s">
        <v>10</v>
      </c>
      <c r="C9" s="13" t="s">
        <v>6</v>
      </c>
      <c r="D9" s="14">
        <v>4725729</v>
      </c>
      <c r="E9" s="16"/>
      <c r="F9" s="14"/>
      <c r="G9" s="14">
        <v>2011601</v>
      </c>
      <c r="H9" s="14">
        <f t="shared" si="4"/>
        <v>2714128</v>
      </c>
      <c r="I9" s="20">
        <v>2600</v>
      </c>
      <c r="M9" s="22">
        <f t="shared" si="0"/>
        <v>314601</v>
      </c>
      <c r="N9" s="25">
        <f t="shared" si="1"/>
        <v>1697000</v>
      </c>
      <c r="O9" s="25">
        <f t="shared" si="2"/>
        <v>1248000</v>
      </c>
      <c r="P9" s="31">
        <f t="shared" si="3"/>
        <v>234000</v>
      </c>
      <c r="Q9" s="22">
        <v>215000</v>
      </c>
    </row>
    <row r="10" spans="1:34" x14ac:dyDescent="0.25">
      <c r="A10" s="3" t="s">
        <v>9</v>
      </c>
      <c r="B10" s="13" t="s">
        <v>10</v>
      </c>
      <c r="C10" s="13" t="s">
        <v>7</v>
      </c>
      <c r="D10" s="14">
        <v>781830</v>
      </c>
      <c r="E10" s="16"/>
      <c r="F10" s="14">
        <v>326893</v>
      </c>
      <c r="G10" s="14"/>
      <c r="H10" s="14">
        <f t="shared" si="4"/>
        <v>454937</v>
      </c>
      <c r="I10" s="20">
        <v>640</v>
      </c>
      <c r="M10" s="22">
        <f t="shared" si="0"/>
        <v>-103007</v>
      </c>
      <c r="N10" s="25">
        <f t="shared" si="1"/>
        <v>429900</v>
      </c>
      <c r="O10" s="25">
        <f t="shared" si="2"/>
        <v>307200</v>
      </c>
      <c r="P10" s="31">
        <f t="shared" ref="P10" si="5">+I10*$T$3</f>
        <v>57600</v>
      </c>
      <c r="Q10" s="22">
        <v>65100</v>
      </c>
    </row>
    <row r="11" spans="1:34" x14ac:dyDescent="0.25">
      <c r="A11" s="3" t="s">
        <v>9</v>
      </c>
      <c r="B11" s="13" t="s">
        <v>10</v>
      </c>
      <c r="C11" s="13" t="s">
        <v>12</v>
      </c>
      <c r="D11" s="14">
        <v>4169760</v>
      </c>
      <c r="E11" s="16"/>
      <c r="F11" s="14"/>
      <c r="G11" s="14">
        <v>1631553</v>
      </c>
      <c r="H11" s="14">
        <f t="shared" si="4"/>
        <v>2538207</v>
      </c>
      <c r="I11" s="20">
        <v>2050</v>
      </c>
      <c r="M11" s="22">
        <f t="shared" si="0"/>
        <v>322053</v>
      </c>
      <c r="N11" s="25">
        <f t="shared" si="1"/>
        <v>1309500</v>
      </c>
      <c r="O11" s="25">
        <f t="shared" si="2"/>
        <v>984000</v>
      </c>
      <c r="P11" s="31">
        <f t="shared" si="3"/>
        <v>184500</v>
      </c>
      <c r="Q11" s="22">
        <v>141000</v>
      </c>
    </row>
    <row r="12" spans="1:34" x14ac:dyDescent="0.25">
      <c r="A12" s="3" t="s">
        <v>9</v>
      </c>
      <c r="B12" s="13" t="s">
        <v>10</v>
      </c>
      <c r="C12" s="13" t="s">
        <v>13</v>
      </c>
      <c r="D12" s="14">
        <v>3127320</v>
      </c>
      <c r="E12" s="16"/>
      <c r="F12" s="14"/>
      <c r="G12" s="14">
        <v>1320604</v>
      </c>
      <c r="H12" s="14">
        <f t="shared" si="4"/>
        <v>1806716</v>
      </c>
      <c r="I12" s="20">
        <v>1600</v>
      </c>
      <c r="M12" s="22">
        <f t="shared" si="0"/>
        <v>342004</v>
      </c>
      <c r="N12" s="25">
        <f t="shared" si="1"/>
        <v>978600</v>
      </c>
      <c r="O12" s="25">
        <f t="shared" si="2"/>
        <v>768000</v>
      </c>
      <c r="P12" s="31">
        <f t="shared" si="3"/>
        <v>144000</v>
      </c>
      <c r="Q12" s="22">
        <v>66600</v>
      </c>
    </row>
    <row r="13" spans="1:34" x14ac:dyDescent="0.25">
      <c r="A13" s="3" t="s">
        <v>9</v>
      </c>
      <c r="B13" s="13" t="s">
        <v>7</v>
      </c>
      <c r="C13" s="13" t="s">
        <v>11</v>
      </c>
      <c r="D13" s="14">
        <v>4274004</v>
      </c>
      <c r="E13" s="16"/>
      <c r="F13" s="14"/>
      <c r="G13" s="14">
        <v>1776665</v>
      </c>
      <c r="H13" s="14">
        <f t="shared" si="4"/>
        <v>2497339</v>
      </c>
      <c r="I13" s="20">
        <v>2260</v>
      </c>
      <c r="M13" s="22">
        <f t="shared" si="0"/>
        <v>273465</v>
      </c>
      <c r="N13" s="25">
        <f t="shared" si="1"/>
        <v>1503200</v>
      </c>
      <c r="O13" s="25">
        <f t="shared" si="2"/>
        <v>1084800</v>
      </c>
      <c r="P13" s="31">
        <f t="shared" si="3"/>
        <v>203400</v>
      </c>
      <c r="Q13" s="22">
        <v>215000</v>
      </c>
    </row>
    <row r="14" spans="1:34" x14ac:dyDescent="0.25">
      <c r="A14" s="3" t="s">
        <v>14</v>
      </c>
      <c r="B14" s="13" t="s">
        <v>12</v>
      </c>
      <c r="C14" s="13" t="s">
        <v>12</v>
      </c>
      <c r="D14" s="14">
        <v>290000</v>
      </c>
      <c r="E14" s="16"/>
      <c r="F14" s="14"/>
      <c r="G14" s="14">
        <f>+I14*900</f>
        <v>27000</v>
      </c>
      <c r="H14" s="14">
        <f t="shared" si="4"/>
        <v>263000</v>
      </c>
      <c r="I14" s="20">
        <v>30</v>
      </c>
      <c r="J14" s="28">
        <v>161115</v>
      </c>
      <c r="K14" s="22">
        <f>+D14-J14</f>
        <v>128885</v>
      </c>
      <c r="M14" s="22">
        <f t="shared" si="0"/>
        <v>-6800</v>
      </c>
      <c r="N14" s="25">
        <f t="shared" si="1"/>
        <v>33800</v>
      </c>
      <c r="O14" s="25">
        <f t="shared" si="2"/>
        <v>14400</v>
      </c>
      <c r="P14" s="31">
        <f t="shared" si="3"/>
        <v>2700</v>
      </c>
      <c r="Q14" s="22">
        <v>16700</v>
      </c>
    </row>
    <row r="15" spans="1:34" x14ac:dyDescent="0.25">
      <c r="A15" s="3" t="s">
        <v>14</v>
      </c>
      <c r="B15" s="13" t="s">
        <v>8</v>
      </c>
      <c r="C15" s="13" t="s">
        <v>248</v>
      </c>
      <c r="D15" s="14">
        <v>1771000</v>
      </c>
      <c r="E15" s="16"/>
      <c r="F15" s="14"/>
      <c r="G15" s="14">
        <v>887010</v>
      </c>
      <c r="H15" s="14">
        <f t="shared" ref="H15" si="6">+D15-F15-G15</f>
        <v>883990</v>
      </c>
      <c r="I15" s="20">
        <v>1110</v>
      </c>
      <c r="M15" s="22">
        <f t="shared" si="0"/>
        <v>94310</v>
      </c>
      <c r="N15" s="25">
        <f t="shared" si="1"/>
        <v>792700</v>
      </c>
      <c r="O15" s="25">
        <f t="shared" si="2"/>
        <v>532800</v>
      </c>
      <c r="P15" s="31">
        <f t="shared" si="3"/>
        <v>99900</v>
      </c>
      <c r="Q15" s="22">
        <v>160000</v>
      </c>
    </row>
    <row r="16" spans="1:34" x14ac:dyDescent="0.25">
      <c r="A16" s="3" t="s">
        <v>14</v>
      </c>
      <c r="B16" s="13" t="s">
        <v>12</v>
      </c>
      <c r="C16" s="13" t="s">
        <v>64</v>
      </c>
      <c r="D16" s="14">
        <v>1290000</v>
      </c>
      <c r="E16" s="16"/>
      <c r="F16" s="14">
        <f>+I16*835</f>
        <v>434200</v>
      </c>
      <c r="G16" s="14"/>
      <c r="H16" s="14">
        <f t="shared" si="4"/>
        <v>855800</v>
      </c>
      <c r="I16" s="20">
        <v>520</v>
      </c>
      <c r="J16" s="28">
        <v>924675</v>
      </c>
      <c r="K16" s="22">
        <f>+D16-J16</f>
        <v>365325</v>
      </c>
      <c r="M16" s="22">
        <f t="shared" si="0"/>
        <v>54300</v>
      </c>
      <c r="N16" s="25">
        <f t="shared" si="1"/>
        <v>379900</v>
      </c>
      <c r="O16" s="25">
        <f t="shared" si="2"/>
        <v>249600</v>
      </c>
      <c r="P16" s="31">
        <f t="shared" si="3"/>
        <v>46800</v>
      </c>
      <c r="Q16" s="22">
        <v>83500</v>
      </c>
    </row>
    <row r="17" spans="1:17" x14ac:dyDescent="0.25">
      <c r="A17" s="3" t="s">
        <v>14</v>
      </c>
      <c r="B17" s="13" t="s">
        <v>12</v>
      </c>
      <c r="C17" s="13" t="s">
        <v>15</v>
      </c>
      <c r="D17" s="14">
        <v>340000</v>
      </c>
      <c r="E17" s="16"/>
      <c r="F17" s="14">
        <v>40501</v>
      </c>
      <c r="G17" s="14"/>
      <c r="H17" s="14">
        <f t="shared" si="4"/>
        <v>299499</v>
      </c>
      <c r="I17" s="20">
        <v>40</v>
      </c>
      <c r="M17" s="22">
        <f t="shared" si="0"/>
        <v>1001</v>
      </c>
      <c r="N17" s="25">
        <f t="shared" si="1"/>
        <v>39500</v>
      </c>
      <c r="O17" s="25">
        <f t="shared" si="2"/>
        <v>19200</v>
      </c>
      <c r="P17" s="31">
        <f t="shared" si="3"/>
        <v>3600</v>
      </c>
      <c r="Q17" s="22">
        <v>16700</v>
      </c>
    </row>
    <row r="18" spans="1:17" x14ac:dyDescent="0.25">
      <c r="A18" s="3" t="s">
        <v>14</v>
      </c>
      <c r="B18" s="13" t="s">
        <v>12</v>
      </c>
      <c r="C18" s="13" t="s">
        <v>16</v>
      </c>
      <c r="D18" s="14">
        <v>340000</v>
      </c>
      <c r="E18" s="16"/>
      <c r="F18" s="14">
        <v>43956</v>
      </c>
      <c r="G18" s="14"/>
      <c r="H18" s="14">
        <f t="shared" si="4"/>
        <v>296044</v>
      </c>
      <c r="I18" s="20">
        <v>45</v>
      </c>
      <c r="M18" s="22">
        <f t="shared" si="0"/>
        <v>1606</v>
      </c>
      <c r="N18" s="25">
        <f t="shared" si="1"/>
        <v>42350</v>
      </c>
      <c r="O18" s="25">
        <f t="shared" si="2"/>
        <v>21600</v>
      </c>
      <c r="P18" s="31">
        <f t="shared" si="3"/>
        <v>4050</v>
      </c>
      <c r="Q18" s="22">
        <v>16700</v>
      </c>
    </row>
    <row r="19" spans="1:17" x14ac:dyDescent="0.25">
      <c r="A19" s="3" t="s">
        <v>14</v>
      </c>
      <c r="B19" s="13" t="s">
        <v>12</v>
      </c>
      <c r="C19" s="13" t="s">
        <v>17</v>
      </c>
      <c r="D19" s="14">
        <v>340000</v>
      </c>
      <c r="E19" s="16"/>
      <c r="F19" s="14">
        <v>52005</v>
      </c>
      <c r="G19" s="14"/>
      <c r="H19" s="14">
        <f t="shared" si="4"/>
        <v>287995</v>
      </c>
      <c r="I19" s="20">
        <v>55</v>
      </c>
      <c r="M19" s="22">
        <f t="shared" si="0"/>
        <v>3955</v>
      </c>
      <c r="N19" s="25">
        <f t="shared" si="1"/>
        <v>48050</v>
      </c>
      <c r="O19" s="25">
        <f t="shared" si="2"/>
        <v>26400</v>
      </c>
      <c r="P19" s="31">
        <f t="shared" si="3"/>
        <v>4950</v>
      </c>
      <c r="Q19" s="22">
        <v>16700</v>
      </c>
    </row>
    <row r="20" spans="1:17" x14ac:dyDescent="0.25">
      <c r="A20" s="3" t="s">
        <v>14</v>
      </c>
      <c r="B20" s="13" t="s">
        <v>12</v>
      </c>
      <c r="C20" s="13" t="s">
        <v>18</v>
      </c>
      <c r="D20" s="14">
        <v>340000</v>
      </c>
      <c r="E20" s="16"/>
      <c r="F20" s="14">
        <v>58915</v>
      </c>
      <c r="G20" s="14"/>
      <c r="H20" s="14">
        <f t="shared" si="4"/>
        <v>281085</v>
      </c>
      <c r="I20" s="20">
        <v>65</v>
      </c>
      <c r="M20" s="22">
        <f t="shared" si="0"/>
        <v>5165</v>
      </c>
      <c r="N20" s="25">
        <f t="shared" si="1"/>
        <v>53750</v>
      </c>
      <c r="O20" s="25">
        <f t="shared" si="2"/>
        <v>31200</v>
      </c>
      <c r="P20" s="31">
        <f t="shared" si="3"/>
        <v>5850</v>
      </c>
      <c r="Q20" s="22">
        <v>16700</v>
      </c>
    </row>
    <row r="21" spans="1:17" x14ac:dyDescent="0.25">
      <c r="A21" s="3" t="s">
        <v>14</v>
      </c>
      <c r="B21" s="13" t="s">
        <v>12</v>
      </c>
      <c r="C21" s="13" t="s">
        <v>19</v>
      </c>
      <c r="D21" s="14">
        <v>380000</v>
      </c>
      <c r="E21" s="16"/>
      <c r="F21" s="14">
        <v>63370</v>
      </c>
      <c r="G21" s="14"/>
      <c r="H21" s="14">
        <f t="shared" si="4"/>
        <v>316630</v>
      </c>
      <c r="I21" s="20">
        <v>70</v>
      </c>
      <c r="M21" s="22">
        <f t="shared" si="0"/>
        <v>-6530</v>
      </c>
      <c r="N21" s="25">
        <f t="shared" si="1"/>
        <v>69900</v>
      </c>
      <c r="O21" s="25">
        <f t="shared" si="2"/>
        <v>33600</v>
      </c>
      <c r="P21" s="31">
        <f t="shared" si="3"/>
        <v>6300</v>
      </c>
      <c r="Q21" s="22">
        <v>30000</v>
      </c>
    </row>
    <row r="22" spans="1:17" x14ac:dyDescent="0.25">
      <c r="A22" s="3" t="s">
        <v>14</v>
      </c>
      <c r="B22" s="13" t="s">
        <v>12</v>
      </c>
      <c r="C22" s="13" t="s">
        <v>20</v>
      </c>
      <c r="D22" s="14">
        <v>380000</v>
      </c>
      <c r="E22" s="16"/>
      <c r="F22" s="14">
        <v>84190</v>
      </c>
      <c r="G22" s="14"/>
      <c r="H22" s="14">
        <f t="shared" si="4"/>
        <v>295810</v>
      </c>
      <c r="I22" s="20">
        <v>90</v>
      </c>
      <c r="M22" s="22">
        <f t="shared" si="0"/>
        <v>-11110</v>
      </c>
      <c r="N22" s="25">
        <f t="shared" si="1"/>
        <v>95300</v>
      </c>
      <c r="O22" s="25">
        <f t="shared" si="2"/>
        <v>43200</v>
      </c>
      <c r="P22" s="31">
        <f t="shared" si="3"/>
        <v>8100</v>
      </c>
      <c r="Q22" s="22">
        <v>44000</v>
      </c>
    </row>
    <row r="23" spans="1:17" x14ac:dyDescent="0.25">
      <c r="A23" s="3" t="s">
        <v>14</v>
      </c>
      <c r="B23" s="13" t="s">
        <v>12</v>
      </c>
      <c r="C23" s="13" t="s">
        <v>21</v>
      </c>
      <c r="D23" s="14">
        <v>380000</v>
      </c>
      <c r="E23" s="16"/>
      <c r="F23" s="14">
        <v>84190</v>
      </c>
      <c r="G23" s="14"/>
      <c r="H23" s="14">
        <f t="shared" si="4"/>
        <v>295810</v>
      </c>
      <c r="I23" s="20">
        <v>90</v>
      </c>
      <c r="J23" s="28">
        <v>220191</v>
      </c>
      <c r="K23" s="22">
        <f t="shared" ref="K23:K24" si="7">+D23-J23</f>
        <v>159809</v>
      </c>
      <c r="M23" s="22">
        <f t="shared" si="0"/>
        <v>-11110</v>
      </c>
      <c r="N23" s="25">
        <f t="shared" si="1"/>
        <v>95300</v>
      </c>
      <c r="O23" s="25">
        <f t="shared" si="2"/>
        <v>43200</v>
      </c>
      <c r="P23" s="31">
        <f t="shared" si="3"/>
        <v>8100</v>
      </c>
      <c r="Q23" s="22">
        <v>44000</v>
      </c>
    </row>
    <row r="24" spans="1:17" x14ac:dyDescent="0.25">
      <c r="A24" s="3" t="s">
        <v>14</v>
      </c>
      <c r="B24" s="13" t="s">
        <v>12</v>
      </c>
      <c r="C24" s="13" t="s">
        <v>238</v>
      </c>
      <c r="D24" s="14">
        <v>380000</v>
      </c>
      <c r="E24" s="16"/>
      <c r="F24" s="14">
        <v>84190</v>
      </c>
      <c r="G24" s="14"/>
      <c r="H24" s="14">
        <f t="shared" si="4"/>
        <v>295810</v>
      </c>
      <c r="I24" s="20">
        <v>90</v>
      </c>
      <c r="J24" s="28">
        <v>226860</v>
      </c>
      <c r="K24" s="22">
        <f t="shared" si="7"/>
        <v>153140</v>
      </c>
      <c r="M24" s="22">
        <f t="shared" si="0"/>
        <v>-11110</v>
      </c>
      <c r="N24" s="25">
        <f t="shared" si="1"/>
        <v>95300</v>
      </c>
      <c r="O24" s="25">
        <f t="shared" si="2"/>
        <v>43200</v>
      </c>
      <c r="P24" s="31">
        <f t="shared" si="3"/>
        <v>8100</v>
      </c>
      <c r="Q24" s="22">
        <v>44000</v>
      </c>
    </row>
    <row r="25" spans="1:17" x14ac:dyDescent="0.25">
      <c r="A25" s="3" t="s">
        <v>14</v>
      </c>
      <c r="B25" s="13" t="s">
        <v>12</v>
      </c>
      <c r="C25" s="13" t="s">
        <v>22</v>
      </c>
      <c r="D25" s="14">
        <v>440000</v>
      </c>
      <c r="E25" s="16"/>
      <c r="F25" s="14">
        <v>116740</v>
      </c>
      <c r="G25" s="14"/>
      <c r="H25" s="14">
        <f t="shared" si="4"/>
        <v>323260</v>
      </c>
      <c r="I25" s="20">
        <v>140</v>
      </c>
      <c r="M25" s="22">
        <f t="shared" si="0"/>
        <v>-7060</v>
      </c>
      <c r="N25" s="25">
        <f t="shared" si="1"/>
        <v>123800</v>
      </c>
      <c r="O25" s="25">
        <f t="shared" si="2"/>
        <v>67200</v>
      </c>
      <c r="P25" s="31">
        <f t="shared" si="3"/>
        <v>12600</v>
      </c>
      <c r="Q25" s="22">
        <v>44000</v>
      </c>
    </row>
    <row r="26" spans="1:17" x14ac:dyDescent="0.25">
      <c r="A26" s="3" t="s">
        <v>14</v>
      </c>
      <c r="B26" s="13" t="s">
        <v>12</v>
      </c>
      <c r="C26" s="13" t="s">
        <v>63</v>
      </c>
      <c r="D26" s="14">
        <v>440000</v>
      </c>
      <c r="E26" s="16"/>
      <c r="F26" s="14">
        <v>111830</v>
      </c>
      <c r="G26" s="14"/>
      <c r="H26" s="14">
        <f t="shared" si="4"/>
        <v>328170</v>
      </c>
      <c r="I26" s="20">
        <v>130</v>
      </c>
      <c r="J26" s="28">
        <v>267570</v>
      </c>
      <c r="K26" s="22">
        <f>+D26-J26</f>
        <v>172430</v>
      </c>
      <c r="M26" s="22">
        <f t="shared" si="0"/>
        <v>-6270</v>
      </c>
      <c r="N26" s="25">
        <f t="shared" si="1"/>
        <v>118100</v>
      </c>
      <c r="O26" s="25">
        <f t="shared" si="2"/>
        <v>62400</v>
      </c>
      <c r="P26" s="31">
        <f t="shared" si="3"/>
        <v>11700</v>
      </c>
      <c r="Q26" s="22">
        <v>44000</v>
      </c>
    </row>
    <row r="27" spans="1:17" x14ac:dyDescent="0.25">
      <c r="A27" s="3" t="s">
        <v>14</v>
      </c>
      <c r="B27" s="13" t="s">
        <v>12</v>
      </c>
      <c r="C27" s="13" t="s">
        <v>23</v>
      </c>
      <c r="D27" s="14">
        <v>440000</v>
      </c>
      <c r="E27" s="16"/>
      <c r="F27" s="14">
        <v>111830</v>
      </c>
      <c r="G27" s="14"/>
      <c r="H27" s="14">
        <f t="shared" si="4"/>
        <v>328170</v>
      </c>
      <c r="I27" s="20">
        <v>130</v>
      </c>
      <c r="M27" s="22">
        <f t="shared" si="0"/>
        <v>-6270</v>
      </c>
      <c r="N27" s="25">
        <f t="shared" si="1"/>
        <v>118100</v>
      </c>
      <c r="O27" s="25">
        <f t="shared" si="2"/>
        <v>62400</v>
      </c>
      <c r="P27" s="31">
        <f t="shared" si="3"/>
        <v>11700</v>
      </c>
      <c r="Q27" s="22">
        <v>44000</v>
      </c>
    </row>
    <row r="28" spans="1:17" x14ac:dyDescent="0.25">
      <c r="A28" s="3" t="s">
        <v>14</v>
      </c>
      <c r="B28" s="13" t="s">
        <v>12</v>
      </c>
      <c r="C28" s="13" t="s">
        <v>70</v>
      </c>
      <c r="D28" s="14">
        <v>480000</v>
      </c>
      <c r="E28" s="16"/>
      <c r="F28" s="14">
        <v>118740</v>
      </c>
      <c r="G28" s="14"/>
      <c r="H28" s="14">
        <f t="shared" si="4"/>
        <v>361260</v>
      </c>
      <c r="I28" s="20">
        <v>140</v>
      </c>
      <c r="M28" s="22">
        <f t="shared" si="0"/>
        <v>-5060</v>
      </c>
      <c r="N28" s="25">
        <f t="shared" si="1"/>
        <v>123800</v>
      </c>
      <c r="O28" s="25">
        <f t="shared" si="2"/>
        <v>67200</v>
      </c>
      <c r="P28" s="31">
        <f t="shared" si="3"/>
        <v>12600</v>
      </c>
      <c r="Q28" s="22">
        <v>44000</v>
      </c>
    </row>
    <row r="29" spans="1:17" x14ac:dyDescent="0.25">
      <c r="A29" s="3" t="s">
        <v>14</v>
      </c>
      <c r="B29" s="13" t="s">
        <v>12</v>
      </c>
      <c r="C29" s="13" t="s">
        <v>24</v>
      </c>
      <c r="D29" s="14">
        <v>540000</v>
      </c>
      <c r="E29" s="16"/>
      <c r="F29" s="14">
        <v>163790</v>
      </c>
      <c r="G29" s="14"/>
      <c r="H29" s="14">
        <f t="shared" si="4"/>
        <v>376210</v>
      </c>
      <c r="I29" s="20">
        <v>190</v>
      </c>
      <c r="M29" s="22">
        <f t="shared" si="0"/>
        <v>-9510</v>
      </c>
      <c r="N29" s="25">
        <f t="shared" si="1"/>
        <v>173300</v>
      </c>
      <c r="O29" s="25">
        <f t="shared" si="2"/>
        <v>91200</v>
      </c>
      <c r="P29" s="31">
        <f t="shared" si="3"/>
        <v>17100</v>
      </c>
      <c r="Q29" s="22">
        <v>65000</v>
      </c>
    </row>
    <row r="30" spans="1:17" x14ac:dyDescent="0.25">
      <c r="A30" s="3" t="s">
        <v>14</v>
      </c>
      <c r="B30" s="13" t="s">
        <v>12</v>
      </c>
      <c r="C30" s="13" t="s">
        <v>25</v>
      </c>
      <c r="D30" s="14">
        <v>590000</v>
      </c>
      <c r="E30" s="16"/>
      <c r="F30" s="14">
        <v>156880</v>
      </c>
      <c r="G30" s="14"/>
      <c r="H30" s="14">
        <f t="shared" si="4"/>
        <v>433120</v>
      </c>
      <c r="I30" s="20">
        <v>180</v>
      </c>
      <c r="M30" s="22">
        <f t="shared" si="0"/>
        <v>-10720</v>
      </c>
      <c r="N30" s="25">
        <f t="shared" si="1"/>
        <v>167600</v>
      </c>
      <c r="O30" s="25">
        <f t="shared" si="2"/>
        <v>86400</v>
      </c>
      <c r="P30" s="31">
        <f t="shared" si="3"/>
        <v>16200</v>
      </c>
      <c r="Q30" s="22">
        <v>65000</v>
      </c>
    </row>
    <row r="31" spans="1:17" x14ac:dyDescent="0.25">
      <c r="A31" s="3" t="s">
        <v>14</v>
      </c>
      <c r="B31" s="13" t="s">
        <v>12</v>
      </c>
      <c r="C31" s="13" t="s">
        <v>26</v>
      </c>
      <c r="D31" s="14">
        <v>650000</v>
      </c>
      <c r="E31" s="16"/>
      <c r="F31" s="14">
        <v>170700</v>
      </c>
      <c r="G31" s="14"/>
      <c r="H31" s="14">
        <f t="shared" si="4"/>
        <v>479300</v>
      </c>
      <c r="I31" s="20">
        <v>200</v>
      </c>
      <c r="M31" s="22">
        <f t="shared" si="0"/>
        <v>-8300</v>
      </c>
      <c r="N31" s="25">
        <f t="shared" si="1"/>
        <v>179000</v>
      </c>
      <c r="O31" s="25">
        <f t="shared" si="2"/>
        <v>96000</v>
      </c>
      <c r="P31" s="31">
        <f t="shared" si="3"/>
        <v>18000</v>
      </c>
      <c r="Q31" s="22">
        <v>65000</v>
      </c>
    </row>
    <row r="32" spans="1:17" x14ac:dyDescent="0.25">
      <c r="A32" s="3" t="s">
        <v>14</v>
      </c>
      <c r="B32" s="13" t="s">
        <v>12</v>
      </c>
      <c r="C32" s="13" t="s">
        <v>27</v>
      </c>
      <c r="D32" s="14">
        <v>650000</v>
      </c>
      <c r="E32" s="16"/>
      <c r="F32" s="14">
        <v>184520</v>
      </c>
      <c r="G32" s="14"/>
      <c r="H32" s="14">
        <f t="shared" si="4"/>
        <v>465480</v>
      </c>
      <c r="I32" s="20">
        <v>220</v>
      </c>
      <c r="M32" s="22">
        <f t="shared" si="0"/>
        <v>-5880</v>
      </c>
      <c r="N32" s="25">
        <f t="shared" si="1"/>
        <v>190400</v>
      </c>
      <c r="O32" s="25">
        <f t="shared" si="2"/>
        <v>105600</v>
      </c>
      <c r="P32" s="31">
        <f t="shared" si="3"/>
        <v>19800</v>
      </c>
      <c r="Q32" s="22">
        <v>65000</v>
      </c>
    </row>
    <row r="33" spans="1:19" x14ac:dyDescent="0.25">
      <c r="A33" s="3" t="s">
        <v>14</v>
      </c>
      <c r="B33" s="13" t="s">
        <v>12</v>
      </c>
      <c r="C33" s="13" t="s">
        <v>28</v>
      </c>
      <c r="D33" s="14">
        <v>720000</v>
      </c>
      <c r="E33" s="16"/>
      <c r="F33" s="14">
        <v>235980</v>
      </c>
      <c r="G33" s="14"/>
      <c r="H33" s="14">
        <f t="shared" si="4"/>
        <v>484020</v>
      </c>
      <c r="I33" s="20">
        <v>280</v>
      </c>
      <c r="J33" s="28">
        <v>427105</v>
      </c>
      <c r="K33" s="22">
        <f t="shared" ref="K33:K34" si="8">+D33-J33</f>
        <v>292895</v>
      </c>
      <c r="M33" s="22">
        <f t="shared" si="0"/>
        <v>-8620</v>
      </c>
      <c r="N33" s="25">
        <f t="shared" si="1"/>
        <v>244600</v>
      </c>
      <c r="O33" s="25">
        <f t="shared" si="2"/>
        <v>134400</v>
      </c>
      <c r="P33" s="31">
        <f t="shared" si="3"/>
        <v>25200</v>
      </c>
      <c r="Q33" s="22">
        <v>85000</v>
      </c>
    </row>
    <row r="34" spans="1:19" x14ac:dyDescent="0.25">
      <c r="A34" s="3" t="s">
        <v>14</v>
      </c>
      <c r="B34" s="13" t="s">
        <v>12</v>
      </c>
      <c r="C34" s="13" t="s">
        <v>29</v>
      </c>
      <c r="D34" s="14">
        <v>1070000</v>
      </c>
      <c r="E34" s="16"/>
      <c r="F34" s="14"/>
      <c r="G34" s="14">
        <v>389130</v>
      </c>
      <c r="H34" s="14">
        <f t="shared" si="4"/>
        <v>680870</v>
      </c>
      <c r="I34" s="20">
        <v>430</v>
      </c>
      <c r="J34" s="28">
        <v>630870</v>
      </c>
      <c r="K34" s="22">
        <f t="shared" si="8"/>
        <v>439130</v>
      </c>
      <c r="M34" s="22">
        <f t="shared" si="0"/>
        <v>52030</v>
      </c>
      <c r="N34" s="25">
        <f t="shared" si="1"/>
        <v>337100</v>
      </c>
      <c r="O34" s="25">
        <f t="shared" si="2"/>
        <v>206400</v>
      </c>
      <c r="P34" s="31">
        <f t="shared" si="3"/>
        <v>38700</v>
      </c>
      <c r="Q34" s="22">
        <v>92000</v>
      </c>
    </row>
    <row r="35" spans="1:19" x14ac:dyDescent="0.25">
      <c r="A35" s="3" t="s">
        <v>14</v>
      </c>
      <c r="B35" s="13" t="s">
        <v>12</v>
      </c>
      <c r="C35" s="13" t="s">
        <v>30</v>
      </c>
      <c r="D35" s="14">
        <v>1070000</v>
      </c>
      <c r="E35" s="16"/>
      <c r="F35" s="14"/>
      <c r="G35" s="14">
        <v>402950</v>
      </c>
      <c r="H35" s="14">
        <f t="shared" si="4"/>
        <v>667050</v>
      </c>
      <c r="I35" s="20">
        <v>450</v>
      </c>
      <c r="M35" s="22">
        <f t="shared" si="0"/>
        <v>54450</v>
      </c>
      <c r="N35" s="25">
        <f t="shared" si="1"/>
        <v>348500</v>
      </c>
      <c r="O35" s="25">
        <f t="shared" si="2"/>
        <v>216000</v>
      </c>
      <c r="P35" s="31">
        <f t="shared" si="3"/>
        <v>40500</v>
      </c>
      <c r="Q35" s="22">
        <v>92000</v>
      </c>
    </row>
    <row r="36" spans="1:19" x14ac:dyDescent="0.25">
      <c r="A36" s="3" t="s">
        <v>14</v>
      </c>
      <c r="B36" s="13" t="s">
        <v>12</v>
      </c>
      <c r="C36" s="13" t="s">
        <v>6</v>
      </c>
      <c r="D36" s="14">
        <v>1350000</v>
      </c>
      <c r="E36" s="16"/>
      <c r="F36" s="14"/>
      <c r="G36" s="14">
        <v>496960</v>
      </c>
      <c r="H36" s="14">
        <f t="shared" si="4"/>
        <v>853040</v>
      </c>
      <c r="I36" s="20">
        <v>560</v>
      </c>
      <c r="M36" s="22">
        <f t="shared" si="0"/>
        <v>67760</v>
      </c>
      <c r="N36" s="25">
        <f t="shared" si="1"/>
        <v>429200</v>
      </c>
      <c r="O36" s="25">
        <f t="shared" si="2"/>
        <v>268800</v>
      </c>
      <c r="P36" s="31">
        <f t="shared" si="3"/>
        <v>50400</v>
      </c>
      <c r="Q36" s="22">
        <v>110000</v>
      </c>
    </row>
    <row r="37" spans="1:19" x14ac:dyDescent="0.25">
      <c r="A37" s="3" t="s">
        <v>14</v>
      </c>
      <c r="B37" s="13" t="s">
        <v>12</v>
      </c>
      <c r="C37" s="13" t="s">
        <v>31</v>
      </c>
      <c r="D37" s="14">
        <v>2390000</v>
      </c>
      <c r="E37" s="16"/>
      <c r="F37" s="14"/>
      <c r="G37" s="14">
        <v>766450</v>
      </c>
      <c r="H37" s="14">
        <f t="shared" si="4"/>
        <v>1623550</v>
      </c>
      <c r="I37" s="20">
        <v>950</v>
      </c>
      <c r="J37" s="28">
        <v>1276290</v>
      </c>
      <c r="K37" s="22">
        <f>+D37-J37</f>
        <v>1113710</v>
      </c>
      <c r="M37" s="22">
        <f t="shared" si="0"/>
        <v>114950</v>
      </c>
      <c r="N37" s="25">
        <f t="shared" si="1"/>
        <v>651500</v>
      </c>
      <c r="O37" s="25">
        <f t="shared" si="2"/>
        <v>456000</v>
      </c>
      <c r="P37" s="31">
        <f t="shared" si="3"/>
        <v>85500</v>
      </c>
      <c r="Q37" s="22">
        <v>110000</v>
      </c>
    </row>
    <row r="38" spans="1:19" x14ac:dyDescent="0.25">
      <c r="A38" s="3" t="s">
        <v>14</v>
      </c>
      <c r="B38" s="13" t="s">
        <v>12</v>
      </c>
      <c r="C38" s="13" t="s">
        <v>8</v>
      </c>
      <c r="D38" s="14">
        <v>2530000</v>
      </c>
      <c r="E38" s="16"/>
      <c r="F38" s="14"/>
      <c r="G38" s="14">
        <v>887010</v>
      </c>
      <c r="H38" s="14">
        <f t="shared" si="4"/>
        <v>1642990</v>
      </c>
      <c r="I38" s="20">
        <v>1110</v>
      </c>
      <c r="K38" s="22"/>
      <c r="M38" s="22">
        <f t="shared" si="0"/>
        <v>80310</v>
      </c>
      <c r="N38" s="25">
        <f t="shared" si="1"/>
        <v>806700</v>
      </c>
      <c r="O38" s="25">
        <f t="shared" si="2"/>
        <v>532800</v>
      </c>
      <c r="P38" s="31">
        <f t="shared" si="3"/>
        <v>99900</v>
      </c>
      <c r="Q38" s="22">
        <v>174000</v>
      </c>
    </row>
    <row r="39" spans="1:19" x14ac:dyDescent="0.25">
      <c r="A39" s="3" t="s">
        <v>14</v>
      </c>
      <c r="B39" s="13" t="s">
        <v>12</v>
      </c>
      <c r="C39" s="13" t="s">
        <v>32</v>
      </c>
      <c r="D39" s="14">
        <v>2760000</v>
      </c>
      <c r="E39" s="16"/>
      <c r="F39" s="14"/>
      <c r="G39" s="14">
        <v>963020</v>
      </c>
      <c r="H39" s="14">
        <f t="shared" si="4"/>
        <v>1796980</v>
      </c>
      <c r="I39" s="20">
        <v>1220</v>
      </c>
      <c r="M39" s="22">
        <f t="shared" si="0"/>
        <v>43620</v>
      </c>
      <c r="N39" s="25">
        <f t="shared" si="1"/>
        <v>919400</v>
      </c>
      <c r="O39" s="25">
        <f t="shared" si="2"/>
        <v>585600</v>
      </c>
      <c r="P39" s="31">
        <f t="shared" si="3"/>
        <v>109800</v>
      </c>
      <c r="Q39" s="22">
        <v>224000</v>
      </c>
    </row>
    <row r="40" spans="1:19" x14ac:dyDescent="0.25">
      <c r="A40" s="3" t="s">
        <v>14</v>
      </c>
      <c r="B40" s="13" t="s">
        <v>12</v>
      </c>
      <c r="C40" s="13" t="s">
        <v>10</v>
      </c>
      <c r="D40" s="14">
        <v>3600000</v>
      </c>
      <c r="E40" s="16"/>
      <c r="F40" s="14"/>
      <c r="G40" s="14">
        <v>1631550</v>
      </c>
      <c r="H40" s="14">
        <f t="shared" si="4"/>
        <v>1968450</v>
      </c>
      <c r="I40" s="20">
        <v>2050</v>
      </c>
      <c r="M40" s="22">
        <f t="shared" si="0"/>
        <v>279200</v>
      </c>
      <c r="N40" s="25">
        <f t="shared" si="1"/>
        <v>1352350</v>
      </c>
      <c r="O40" s="25">
        <f t="shared" si="2"/>
        <v>984000</v>
      </c>
      <c r="P40" s="31">
        <f t="shared" si="3"/>
        <v>184500</v>
      </c>
      <c r="Q40" s="22">
        <v>183850</v>
      </c>
    </row>
    <row r="41" spans="1:19" x14ac:dyDescent="0.25">
      <c r="A41" s="3" t="s">
        <v>33</v>
      </c>
      <c r="B41" s="13" t="s">
        <v>193</v>
      </c>
      <c r="C41" s="13" t="s">
        <v>8</v>
      </c>
      <c r="D41" s="14"/>
      <c r="E41" s="16">
        <v>51.3</v>
      </c>
      <c r="F41" s="14"/>
      <c r="G41" s="14">
        <v>856280</v>
      </c>
      <c r="H41" s="14">
        <f t="shared" si="4"/>
        <v>-856280</v>
      </c>
      <c r="I41" s="20">
        <v>1008</v>
      </c>
      <c r="M41" s="22">
        <f t="shared" si="0"/>
        <v>135020</v>
      </c>
      <c r="N41" s="25">
        <f t="shared" si="1"/>
        <v>721260</v>
      </c>
      <c r="O41" s="25">
        <f t="shared" si="2"/>
        <v>483840</v>
      </c>
      <c r="P41" s="31">
        <f t="shared" si="3"/>
        <v>90720</v>
      </c>
      <c r="Q41" s="22">
        <v>146700</v>
      </c>
    </row>
    <row r="42" spans="1:19" x14ac:dyDescent="0.25">
      <c r="A42" s="3" t="s">
        <v>33</v>
      </c>
      <c r="B42" s="13" t="s">
        <v>6</v>
      </c>
      <c r="C42" s="13" t="s">
        <v>8</v>
      </c>
      <c r="D42" s="14"/>
      <c r="E42" s="16">
        <v>36.200000000000003</v>
      </c>
      <c r="F42" s="14"/>
      <c r="G42" s="14">
        <v>504970</v>
      </c>
      <c r="H42" s="14">
        <f t="shared" si="4"/>
        <v>-504970</v>
      </c>
      <c r="I42" s="20">
        <v>670</v>
      </c>
      <c r="M42" s="22">
        <f t="shared" si="0"/>
        <v>35720</v>
      </c>
      <c r="N42" s="25">
        <f t="shared" si="1"/>
        <v>469250</v>
      </c>
      <c r="O42" s="25">
        <f t="shared" si="2"/>
        <v>321600</v>
      </c>
      <c r="P42" s="31">
        <f t="shared" si="3"/>
        <v>60300</v>
      </c>
      <c r="Q42" s="22">
        <v>87350</v>
      </c>
    </row>
    <row r="43" spans="1:19" x14ac:dyDescent="0.25">
      <c r="A43" s="3" t="s">
        <v>33</v>
      </c>
      <c r="B43" s="13" t="s">
        <v>174</v>
      </c>
      <c r="C43" s="13" t="s">
        <v>8</v>
      </c>
      <c r="D43" s="14"/>
      <c r="E43" s="16">
        <v>8.6</v>
      </c>
      <c r="F43" s="14">
        <v>37645</v>
      </c>
      <c r="G43" s="14"/>
      <c r="H43" s="14">
        <f t="shared" si="4"/>
        <v>-37645</v>
      </c>
      <c r="I43" s="20">
        <v>45</v>
      </c>
      <c r="J43" s="28">
        <v>162400</v>
      </c>
      <c r="K43" s="22">
        <f>+D43-J43</f>
        <v>-162400</v>
      </c>
      <c r="M43" s="22">
        <f t="shared" si="0"/>
        <v>-555</v>
      </c>
      <c r="N43" s="25">
        <f t="shared" si="1"/>
        <v>38200</v>
      </c>
      <c r="O43" s="25">
        <f t="shared" si="2"/>
        <v>21600</v>
      </c>
      <c r="P43" s="31">
        <f t="shared" si="3"/>
        <v>4050</v>
      </c>
      <c r="Q43" s="22">
        <v>12550</v>
      </c>
    </row>
    <row r="44" spans="1:19" x14ac:dyDescent="0.25">
      <c r="A44" s="3" t="s">
        <v>33</v>
      </c>
      <c r="B44" s="13" t="s">
        <v>67</v>
      </c>
      <c r="C44" s="13" t="s">
        <v>8</v>
      </c>
      <c r="D44" s="14"/>
      <c r="E44" s="16">
        <v>30.9</v>
      </c>
      <c r="F44" s="14">
        <v>172920</v>
      </c>
      <c r="G44" s="14"/>
      <c r="H44" s="14">
        <f t="shared" si="4"/>
        <v>-172920</v>
      </c>
      <c r="I44" s="20">
        <v>390</v>
      </c>
      <c r="M44" s="22">
        <f t="shared" si="0"/>
        <v>-96480</v>
      </c>
      <c r="N44" s="25">
        <f t="shared" si="1"/>
        <v>269400</v>
      </c>
      <c r="O44" s="25">
        <f t="shared" si="2"/>
        <v>187200</v>
      </c>
      <c r="P44" s="31">
        <f t="shared" si="3"/>
        <v>35100</v>
      </c>
      <c r="Q44" s="22">
        <v>47100</v>
      </c>
    </row>
    <row r="45" spans="1:19" x14ac:dyDescent="0.25">
      <c r="A45" s="3" t="s">
        <v>33</v>
      </c>
      <c r="B45" s="13" t="s">
        <v>175</v>
      </c>
      <c r="C45" s="13" t="s">
        <v>8</v>
      </c>
      <c r="D45" s="14"/>
      <c r="E45" s="16">
        <v>10.3</v>
      </c>
      <c r="F45" s="14">
        <v>75725</v>
      </c>
      <c r="G45" s="14"/>
      <c r="H45" s="14">
        <f t="shared" si="4"/>
        <v>-75725</v>
      </c>
      <c r="I45" s="20">
        <v>83</v>
      </c>
      <c r="J45" s="28">
        <v>7800</v>
      </c>
      <c r="K45" s="23"/>
      <c r="L45" s="23"/>
      <c r="M45" s="22">
        <f t="shared" si="0"/>
        <v>-3485</v>
      </c>
      <c r="N45" s="25">
        <f t="shared" si="1"/>
        <v>79210</v>
      </c>
      <c r="O45" s="25">
        <f t="shared" si="2"/>
        <v>39840</v>
      </c>
      <c r="P45" s="31">
        <f t="shared" si="3"/>
        <v>7470</v>
      </c>
      <c r="Q45" s="22">
        <v>31900</v>
      </c>
    </row>
    <row r="46" spans="1:19" x14ac:dyDescent="0.25">
      <c r="A46" s="3" t="s">
        <v>33</v>
      </c>
      <c r="B46" s="13" t="s">
        <v>71</v>
      </c>
      <c r="C46" s="13" t="s">
        <v>8</v>
      </c>
      <c r="D46" s="14"/>
      <c r="E46" s="16">
        <v>52.2</v>
      </c>
      <c r="F46" s="14"/>
      <c r="G46" s="14">
        <v>863190</v>
      </c>
      <c r="H46" s="14">
        <f t="shared" si="4"/>
        <v>-863190</v>
      </c>
      <c r="I46" s="20">
        <v>1090</v>
      </c>
      <c r="J46" s="28">
        <v>1374340</v>
      </c>
      <c r="K46" s="22">
        <f>+D46-J46</f>
        <v>-1374340</v>
      </c>
      <c r="L46" s="23"/>
      <c r="M46" s="22">
        <f t="shared" si="0"/>
        <v>67890</v>
      </c>
      <c r="N46" s="25">
        <f t="shared" si="1"/>
        <v>795300</v>
      </c>
      <c r="O46" s="25">
        <f t="shared" si="2"/>
        <v>523200</v>
      </c>
      <c r="P46" s="31">
        <f t="shared" si="3"/>
        <v>98100</v>
      </c>
      <c r="Q46" s="22">
        <v>174000</v>
      </c>
    </row>
    <row r="47" spans="1:19" x14ac:dyDescent="0.25">
      <c r="A47" s="3" t="s">
        <v>33</v>
      </c>
      <c r="B47" s="13" t="s">
        <v>40</v>
      </c>
      <c r="C47" s="13" t="s">
        <v>8</v>
      </c>
      <c r="D47" s="14"/>
      <c r="E47" s="16">
        <v>59.4</v>
      </c>
      <c r="F47" s="14"/>
      <c r="G47" s="14">
        <v>974200</v>
      </c>
      <c r="H47" s="14">
        <f t="shared" si="4"/>
        <v>-974200</v>
      </c>
      <c r="I47" s="20">
        <v>1200</v>
      </c>
      <c r="L47" s="23"/>
      <c r="M47" s="22">
        <f t="shared" si="0"/>
        <v>82300</v>
      </c>
      <c r="N47" s="25">
        <f t="shared" si="1"/>
        <v>891900</v>
      </c>
      <c r="O47" s="25">
        <f t="shared" si="2"/>
        <v>576000</v>
      </c>
      <c r="P47" s="31">
        <f t="shared" si="3"/>
        <v>108000</v>
      </c>
      <c r="Q47" s="22">
        <v>207900</v>
      </c>
    </row>
    <row r="48" spans="1:19" x14ac:dyDescent="0.25">
      <c r="A48" s="3" t="s">
        <v>33</v>
      </c>
      <c r="B48" s="13" t="s">
        <v>68</v>
      </c>
      <c r="C48" s="13" t="s">
        <v>8</v>
      </c>
      <c r="D48" s="14"/>
      <c r="E48" s="16">
        <v>62.8</v>
      </c>
      <c r="F48" s="14"/>
      <c r="G48" s="14">
        <v>948560</v>
      </c>
      <c r="H48" s="14">
        <f t="shared" si="4"/>
        <v>-948560</v>
      </c>
      <c r="I48" s="20">
        <v>1160</v>
      </c>
      <c r="M48" s="22">
        <f t="shared" si="0"/>
        <v>100460</v>
      </c>
      <c r="N48" s="25">
        <f t="shared" si="1"/>
        <v>848100</v>
      </c>
      <c r="O48" s="25">
        <f t="shared" si="2"/>
        <v>556800</v>
      </c>
      <c r="P48" s="31">
        <f t="shared" si="3"/>
        <v>104400</v>
      </c>
      <c r="Q48" s="22">
        <v>186900</v>
      </c>
      <c r="R48" s="26"/>
      <c r="S48" s="24"/>
    </row>
    <row r="49" spans="1:17" x14ac:dyDescent="0.25">
      <c r="A49" s="3" t="s">
        <v>33</v>
      </c>
      <c r="B49" s="13" t="s">
        <v>12</v>
      </c>
      <c r="C49" s="13" t="s">
        <v>8</v>
      </c>
      <c r="D49" s="14"/>
      <c r="E49" s="16">
        <v>52.2</v>
      </c>
      <c r="F49" s="14"/>
      <c r="G49" s="14">
        <v>863190</v>
      </c>
      <c r="H49" s="14">
        <f t="shared" si="4"/>
        <v>-863190</v>
      </c>
      <c r="I49" s="20">
        <v>1090</v>
      </c>
      <c r="M49" s="22">
        <f t="shared" si="0"/>
        <v>67890</v>
      </c>
      <c r="N49" s="25">
        <f t="shared" si="1"/>
        <v>795300</v>
      </c>
      <c r="O49" s="25">
        <f t="shared" si="2"/>
        <v>523200</v>
      </c>
      <c r="P49" s="31">
        <f t="shared" si="3"/>
        <v>98100</v>
      </c>
      <c r="Q49" s="22">
        <v>174000</v>
      </c>
    </row>
    <row r="50" spans="1:17" x14ac:dyDescent="0.25">
      <c r="A50" s="3" t="s">
        <v>33</v>
      </c>
      <c r="B50" s="13" t="s">
        <v>63</v>
      </c>
      <c r="C50" s="13" t="s">
        <v>8</v>
      </c>
      <c r="D50" s="14"/>
      <c r="E50" s="16">
        <v>57.5</v>
      </c>
      <c r="F50" s="14"/>
      <c r="G50" s="14">
        <v>879410</v>
      </c>
      <c r="H50" s="14">
        <f t="shared" si="4"/>
        <v>-879410</v>
      </c>
      <c r="I50" s="20">
        <v>1110</v>
      </c>
      <c r="M50" s="22">
        <f t="shared" si="0"/>
        <v>38810</v>
      </c>
      <c r="N50" s="25">
        <f t="shared" si="1"/>
        <v>840600</v>
      </c>
      <c r="O50" s="25">
        <f t="shared" si="2"/>
        <v>532800</v>
      </c>
      <c r="P50" s="31">
        <f t="shared" si="3"/>
        <v>99900</v>
      </c>
      <c r="Q50" s="22">
        <v>207900</v>
      </c>
    </row>
    <row r="51" spans="1:17" x14ac:dyDescent="0.25">
      <c r="A51" s="3" t="s">
        <v>33</v>
      </c>
      <c r="B51" s="13" t="s">
        <v>72</v>
      </c>
      <c r="C51" s="13" t="s">
        <v>8</v>
      </c>
      <c r="D51" s="14"/>
      <c r="E51" s="16">
        <v>49.9</v>
      </c>
      <c r="F51" s="14"/>
      <c r="G51" s="14">
        <v>776450</v>
      </c>
      <c r="H51" s="14">
        <f t="shared" si="4"/>
        <v>-776450</v>
      </c>
      <c r="I51" s="20">
        <v>950</v>
      </c>
      <c r="M51" s="22">
        <f t="shared" si="0"/>
        <v>88250</v>
      </c>
      <c r="N51" s="25">
        <f t="shared" si="1"/>
        <v>688200</v>
      </c>
      <c r="O51" s="25">
        <f t="shared" si="2"/>
        <v>456000</v>
      </c>
      <c r="P51" s="31">
        <f t="shared" si="3"/>
        <v>85500</v>
      </c>
      <c r="Q51" s="22">
        <v>146700</v>
      </c>
    </row>
    <row r="52" spans="1:17" x14ac:dyDescent="0.25">
      <c r="A52" s="3" t="s">
        <v>33</v>
      </c>
      <c r="B52" s="13" t="s">
        <v>27</v>
      </c>
      <c r="C52" s="13" t="s">
        <v>8</v>
      </c>
      <c r="D52" s="14"/>
      <c r="E52" s="16">
        <v>49</v>
      </c>
      <c r="F52" s="14"/>
      <c r="G52" s="14">
        <v>736900</v>
      </c>
      <c r="H52" s="14">
        <f t="shared" si="4"/>
        <v>-736900</v>
      </c>
      <c r="I52" s="20">
        <v>900</v>
      </c>
      <c r="M52" s="22">
        <f t="shared" si="0"/>
        <v>77200</v>
      </c>
      <c r="N52" s="25">
        <f t="shared" si="1"/>
        <v>659700</v>
      </c>
      <c r="O52" s="25">
        <f t="shared" si="2"/>
        <v>432000</v>
      </c>
      <c r="P52" s="31">
        <f t="shared" si="3"/>
        <v>81000</v>
      </c>
      <c r="Q52" s="22">
        <v>146700</v>
      </c>
    </row>
    <row r="53" spans="1:17" x14ac:dyDescent="0.25">
      <c r="A53" s="3" t="s">
        <v>33</v>
      </c>
      <c r="B53" s="13" t="s">
        <v>69</v>
      </c>
      <c r="C53" s="13" t="s">
        <v>8</v>
      </c>
      <c r="D53" s="14"/>
      <c r="E53" s="16">
        <v>30.7</v>
      </c>
      <c r="F53" s="14"/>
      <c r="G53" s="14">
        <v>387380</v>
      </c>
      <c r="H53" s="14">
        <f t="shared" si="4"/>
        <v>-387380</v>
      </c>
      <c r="I53" s="20">
        <v>480</v>
      </c>
      <c r="M53" s="22">
        <f t="shared" si="0"/>
        <v>5780</v>
      </c>
      <c r="N53" s="25">
        <f t="shared" si="1"/>
        <v>381600</v>
      </c>
      <c r="O53" s="25">
        <f t="shared" si="2"/>
        <v>230400</v>
      </c>
      <c r="P53" s="31">
        <f t="shared" si="3"/>
        <v>43200</v>
      </c>
      <c r="Q53" s="22">
        <v>108000</v>
      </c>
    </row>
    <row r="54" spans="1:17" x14ac:dyDescent="0.25">
      <c r="A54" s="3" t="s">
        <v>33</v>
      </c>
      <c r="B54" s="13" t="s">
        <v>5</v>
      </c>
      <c r="C54" s="13" t="s">
        <v>66</v>
      </c>
      <c r="D54" s="14">
        <v>4508000</v>
      </c>
      <c r="E54" s="16"/>
      <c r="F54" s="14"/>
      <c r="G54" s="14">
        <v>1577450</v>
      </c>
      <c r="H54" s="14">
        <f t="shared" ref="H54" si="9">+D54-F54-G54</f>
        <v>2930550</v>
      </c>
      <c r="I54" s="20">
        <v>1950</v>
      </c>
      <c r="M54" s="22">
        <f t="shared" ref="M54" si="10">+F54+G54-N54</f>
        <v>235950</v>
      </c>
      <c r="N54" s="25">
        <f t="shared" ref="N54" si="11">+SUM(O54:Q54)</f>
        <v>1341500</v>
      </c>
      <c r="O54" s="25">
        <f t="shared" ref="O54" si="12">+I54/$R$3*$S$3</f>
        <v>936000</v>
      </c>
      <c r="P54" s="31">
        <f t="shared" ref="P54" si="13">+I54*$T$3</f>
        <v>175500</v>
      </c>
      <c r="Q54" s="22">
        <v>230000</v>
      </c>
    </row>
    <row r="55" spans="1:17" x14ac:dyDescent="0.25">
      <c r="A55" s="3" t="s">
        <v>34</v>
      </c>
      <c r="B55" s="13" t="s">
        <v>8</v>
      </c>
      <c r="C55" s="13" t="s">
        <v>73</v>
      </c>
      <c r="D55" s="14">
        <v>1489000</v>
      </c>
      <c r="E55" s="16"/>
      <c r="F55" s="14"/>
      <c r="G55" s="14">
        <v>921550</v>
      </c>
      <c r="H55" s="14">
        <f t="shared" si="4"/>
        <v>567450</v>
      </c>
      <c r="I55" s="20">
        <v>1050</v>
      </c>
      <c r="M55" s="22">
        <f t="shared" si="0"/>
        <v>149050</v>
      </c>
      <c r="N55" s="25">
        <f t="shared" si="1"/>
        <v>772500</v>
      </c>
      <c r="O55" s="25">
        <f t="shared" si="2"/>
        <v>504000</v>
      </c>
      <c r="P55" s="31">
        <f t="shared" si="3"/>
        <v>94500</v>
      </c>
      <c r="Q55" s="22">
        <v>174000</v>
      </c>
    </row>
    <row r="56" spans="1:17" x14ac:dyDescent="0.25">
      <c r="A56" s="3" t="s">
        <v>34</v>
      </c>
      <c r="B56" s="13" t="s">
        <v>73</v>
      </c>
      <c r="C56" s="13" t="s">
        <v>32</v>
      </c>
      <c r="D56" s="14">
        <v>2439000</v>
      </c>
      <c r="E56" s="16"/>
      <c r="F56" s="14"/>
      <c r="G56" s="14">
        <v>1169200</v>
      </c>
      <c r="H56" s="14">
        <f t="shared" si="4"/>
        <v>1269800</v>
      </c>
      <c r="I56" s="20">
        <v>1200</v>
      </c>
      <c r="M56" s="22">
        <f t="shared" si="0"/>
        <v>261200</v>
      </c>
      <c r="N56" s="25">
        <f t="shared" si="1"/>
        <v>908000</v>
      </c>
      <c r="O56" s="25">
        <f t="shared" si="2"/>
        <v>576000</v>
      </c>
      <c r="P56" s="31">
        <f t="shared" si="3"/>
        <v>108000</v>
      </c>
      <c r="Q56" s="22">
        <v>224000</v>
      </c>
    </row>
    <row r="57" spans="1:17" x14ac:dyDescent="0.25">
      <c r="A57" s="3" t="s">
        <v>34</v>
      </c>
      <c r="B57" s="13" t="s">
        <v>6</v>
      </c>
      <c r="C57" s="13" t="s">
        <v>73</v>
      </c>
      <c r="D57" s="14">
        <v>665000</v>
      </c>
      <c r="E57" s="16"/>
      <c r="F57" s="14"/>
      <c r="G57" s="14">
        <v>489320</v>
      </c>
      <c r="H57" s="14">
        <f t="shared" si="4"/>
        <v>175680</v>
      </c>
      <c r="I57" s="20">
        <v>520</v>
      </c>
      <c r="M57" s="22">
        <f t="shared" si="0"/>
        <v>82920</v>
      </c>
      <c r="N57" s="25">
        <f t="shared" si="1"/>
        <v>406400</v>
      </c>
      <c r="O57" s="25">
        <f t="shared" si="2"/>
        <v>249600</v>
      </c>
      <c r="P57" s="31">
        <f t="shared" si="3"/>
        <v>46800</v>
      </c>
      <c r="Q57" s="22">
        <v>110000</v>
      </c>
    </row>
    <row r="58" spans="1:17" x14ac:dyDescent="0.25">
      <c r="A58" s="3" t="s">
        <v>34</v>
      </c>
      <c r="B58" s="13" t="s">
        <v>74</v>
      </c>
      <c r="C58" s="13" t="s">
        <v>73</v>
      </c>
      <c r="D58" s="14">
        <v>300000</v>
      </c>
      <c r="E58" s="16"/>
      <c r="F58" s="14">
        <v>9692</v>
      </c>
      <c r="G58" s="14"/>
      <c r="H58" s="14">
        <f t="shared" si="4"/>
        <v>290308</v>
      </c>
      <c r="I58" s="20">
        <v>12</v>
      </c>
      <c r="M58" s="22">
        <f t="shared" si="0"/>
        <v>-13848</v>
      </c>
      <c r="N58" s="25">
        <f t="shared" si="1"/>
        <v>23540</v>
      </c>
      <c r="O58" s="25">
        <f t="shared" si="2"/>
        <v>5760</v>
      </c>
      <c r="P58" s="31">
        <f t="shared" si="3"/>
        <v>1080</v>
      </c>
      <c r="Q58" s="22">
        <v>16700</v>
      </c>
    </row>
    <row r="59" spans="1:17" x14ac:dyDescent="0.25">
      <c r="A59" s="3" t="s">
        <v>34</v>
      </c>
      <c r="B59" s="13" t="s">
        <v>7</v>
      </c>
      <c r="C59" s="13" t="s">
        <v>12</v>
      </c>
      <c r="D59" s="14">
        <v>3723000</v>
      </c>
      <c r="E59" s="16"/>
      <c r="F59" s="14"/>
      <c r="G59" s="14">
        <v>1423800</v>
      </c>
      <c r="H59" s="14">
        <f t="shared" si="4"/>
        <v>2299200</v>
      </c>
      <c r="I59" s="20">
        <v>1800</v>
      </c>
      <c r="M59" s="22">
        <f t="shared" si="0"/>
        <v>202950</v>
      </c>
      <c r="N59" s="25">
        <f t="shared" si="1"/>
        <v>1220850</v>
      </c>
      <c r="O59" s="25">
        <f t="shared" si="2"/>
        <v>864000</v>
      </c>
      <c r="P59" s="31">
        <f t="shared" si="3"/>
        <v>162000</v>
      </c>
      <c r="Q59" s="22">
        <v>194850</v>
      </c>
    </row>
    <row r="60" spans="1:17" x14ac:dyDescent="0.25">
      <c r="A60" s="3" t="s">
        <v>34</v>
      </c>
      <c r="B60" s="13" t="s">
        <v>12</v>
      </c>
      <c r="C60" s="13" t="s">
        <v>6</v>
      </c>
      <c r="D60" s="14">
        <v>1190000</v>
      </c>
      <c r="E60" s="16"/>
      <c r="F60" s="14">
        <f>+I60*800</f>
        <v>432000</v>
      </c>
      <c r="G60" s="14"/>
      <c r="H60" s="14">
        <f t="shared" si="4"/>
        <v>758000</v>
      </c>
      <c r="I60" s="20">
        <v>540</v>
      </c>
      <c r="M60" s="22">
        <f t="shared" si="0"/>
        <v>14200</v>
      </c>
      <c r="N60" s="25">
        <f t="shared" si="1"/>
        <v>417800</v>
      </c>
      <c r="O60" s="25">
        <f t="shared" si="2"/>
        <v>259200</v>
      </c>
      <c r="P60" s="31">
        <f t="shared" si="3"/>
        <v>48600</v>
      </c>
      <c r="Q60" s="22">
        <v>110000</v>
      </c>
    </row>
    <row r="61" spans="1:17" x14ac:dyDescent="0.25">
      <c r="A61" s="3" t="s">
        <v>34</v>
      </c>
      <c r="B61" s="13" t="s">
        <v>75</v>
      </c>
      <c r="C61" s="13" t="s">
        <v>73</v>
      </c>
      <c r="D61" s="14">
        <v>378000</v>
      </c>
      <c r="E61" s="16"/>
      <c r="F61" s="14">
        <v>68735</v>
      </c>
      <c r="G61" s="14"/>
      <c r="H61" s="14">
        <f t="shared" si="4"/>
        <v>309265</v>
      </c>
      <c r="I61" s="20">
        <v>85</v>
      </c>
      <c r="M61" s="22">
        <f t="shared" si="0"/>
        <v>-34615</v>
      </c>
      <c r="N61" s="25">
        <f t="shared" si="1"/>
        <v>103350</v>
      </c>
      <c r="O61" s="25">
        <f t="shared" si="2"/>
        <v>40800</v>
      </c>
      <c r="P61" s="31">
        <f t="shared" si="3"/>
        <v>7650</v>
      </c>
      <c r="Q61" s="22">
        <v>54900</v>
      </c>
    </row>
    <row r="62" spans="1:17" x14ac:dyDescent="0.25">
      <c r="A62" s="3" t="s">
        <v>34</v>
      </c>
      <c r="B62" s="13" t="s">
        <v>73</v>
      </c>
      <c r="C62" s="13" t="s">
        <v>64</v>
      </c>
      <c r="D62" s="14">
        <v>1190000</v>
      </c>
      <c r="E62" s="16"/>
      <c r="F62" s="14">
        <f>+F60</f>
        <v>432000</v>
      </c>
      <c r="G62" s="14"/>
      <c r="H62" s="14">
        <f t="shared" si="4"/>
        <v>758000</v>
      </c>
      <c r="I62" s="20">
        <v>520</v>
      </c>
      <c r="M62" s="22">
        <f t="shared" si="0"/>
        <v>52100</v>
      </c>
      <c r="N62" s="25">
        <f t="shared" si="1"/>
        <v>379900</v>
      </c>
      <c r="O62" s="25">
        <f t="shared" si="2"/>
        <v>249600</v>
      </c>
      <c r="P62" s="31">
        <f t="shared" si="3"/>
        <v>46800</v>
      </c>
      <c r="Q62" s="22">
        <v>83500</v>
      </c>
    </row>
    <row r="63" spans="1:17" x14ac:dyDescent="0.25">
      <c r="A63" s="3" t="s">
        <v>34</v>
      </c>
      <c r="B63" s="13" t="s">
        <v>249</v>
      </c>
      <c r="C63" s="13" t="s">
        <v>73</v>
      </c>
      <c r="D63" s="14">
        <v>1700000</v>
      </c>
      <c r="E63" s="16"/>
      <c r="F63" s="14">
        <f>+I63*800</f>
        <v>712000</v>
      </c>
      <c r="G63" s="14"/>
      <c r="H63" s="14">
        <f t="shared" si="4"/>
        <v>988000</v>
      </c>
      <c r="I63" s="20">
        <v>890</v>
      </c>
      <c r="K63" s="22"/>
      <c r="M63" s="22">
        <f t="shared" si="0"/>
        <v>54100</v>
      </c>
      <c r="N63" s="25">
        <f t="shared" si="1"/>
        <v>657900</v>
      </c>
      <c r="O63" s="25">
        <f t="shared" si="2"/>
        <v>427200</v>
      </c>
      <c r="P63" s="31">
        <f t="shared" si="3"/>
        <v>80100</v>
      </c>
      <c r="Q63" s="22">
        <v>150600</v>
      </c>
    </row>
    <row r="64" spans="1:17" x14ac:dyDescent="0.25">
      <c r="A64" s="3" t="s">
        <v>35</v>
      </c>
      <c r="B64" s="13" t="s">
        <v>76</v>
      </c>
      <c r="C64" s="13" t="s">
        <v>73</v>
      </c>
      <c r="D64" s="14">
        <v>714560</v>
      </c>
      <c r="E64" s="16"/>
      <c r="F64" s="14"/>
      <c r="G64" s="14">
        <v>253255</v>
      </c>
      <c r="H64" s="14">
        <f t="shared" si="4"/>
        <v>461305</v>
      </c>
      <c r="I64" s="20">
        <v>290</v>
      </c>
      <c r="J64" s="28">
        <v>466358</v>
      </c>
      <c r="K64" s="22">
        <f>+D64-J64</f>
        <v>248202</v>
      </c>
      <c r="M64" s="22">
        <f t="shared" si="0"/>
        <v>13055</v>
      </c>
      <c r="N64" s="25">
        <f t="shared" si="1"/>
        <v>240200</v>
      </c>
      <c r="O64" s="25">
        <f t="shared" si="2"/>
        <v>139200</v>
      </c>
      <c r="P64" s="31">
        <f t="shared" si="3"/>
        <v>26100</v>
      </c>
      <c r="Q64" s="22">
        <v>74900</v>
      </c>
    </row>
    <row r="65" spans="1:17" x14ac:dyDescent="0.25">
      <c r="A65" s="3" t="s">
        <v>35</v>
      </c>
      <c r="B65" s="13" t="s">
        <v>76</v>
      </c>
      <c r="C65" s="13" t="s">
        <v>22</v>
      </c>
      <c r="D65" s="14">
        <v>483840</v>
      </c>
      <c r="E65" s="16"/>
      <c r="F65" s="14"/>
      <c r="G65" s="14">
        <v>184258</v>
      </c>
      <c r="H65" s="14">
        <f t="shared" si="4"/>
        <v>299582</v>
      </c>
      <c r="I65" s="20">
        <v>216</v>
      </c>
      <c r="M65" s="22">
        <f t="shared" si="0"/>
        <v>28138</v>
      </c>
      <c r="N65" s="25">
        <f t="shared" si="1"/>
        <v>156120</v>
      </c>
      <c r="O65" s="25">
        <f t="shared" si="2"/>
        <v>103680</v>
      </c>
      <c r="P65" s="31">
        <f t="shared" si="3"/>
        <v>19440</v>
      </c>
      <c r="Q65" s="22">
        <v>33000</v>
      </c>
    </row>
    <row r="66" spans="1:17" x14ac:dyDescent="0.25">
      <c r="A66" s="3" t="s">
        <v>35</v>
      </c>
      <c r="B66" s="13" t="s">
        <v>76</v>
      </c>
      <c r="C66" s="13" t="s">
        <v>172</v>
      </c>
      <c r="D66" s="14">
        <v>758240</v>
      </c>
      <c r="E66" s="16"/>
      <c r="F66" s="14"/>
      <c r="G66" s="14">
        <v>280999</v>
      </c>
      <c r="H66" s="14">
        <f t="shared" si="4"/>
        <v>477241</v>
      </c>
      <c r="I66" s="20">
        <v>356</v>
      </c>
      <c r="M66" s="22">
        <f t="shared" si="0"/>
        <v>13279</v>
      </c>
      <c r="N66" s="25">
        <f t="shared" si="1"/>
        <v>267720</v>
      </c>
      <c r="O66" s="25">
        <f t="shared" si="2"/>
        <v>170880</v>
      </c>
      <c r="P66" s="31">
        <f t="shared" si="3"/>
        <v>32040</v>
      </c>
      <c r="Q66" s="22">
        <v>64800</v>
      </c>
    </row>
    <row r="67" spans="1:17" x14ac:dyDescent="0.25">
      <c r="A67" s="3" t="s">
        <v>35</v>
      </c>
      <c r="B67" s="13" t="s">
        <v>76</v>
      </c>
      <c r="C67" s="13" t="s">
        <v>21</v>
      </c>
      <c r="D67" s="14">
        <v>750400</v>
      </c>
      <c r="E67" s="16"/>
      <c r="F67" s="14"/>
      <c r="G67" s="14">
        <v>261651</v>
      </c>
      <c r="H67" s="14">
        <f t="shared" si="4"/>
        <v>488749</v>
      </c>
      <c r="I67" s="20">
        <v>328</v>
      </c>
      <c r="M67" s="22">
        <f t="shared" si="0"/>
        <v>-89309</v>
      </c>
      <c r="N67" s="25">
        <f t="shared" si="1"/>
        <v>350960</v>
      </c>
      <c r="O67" s="25">
        <f t="shared" si="2"/>
        <v>157440</v>
      </c>
      <c r="P67" s="31">
        <f t="shared" si="3"/>
        <v>29520</v>
      </c>
      <c r="Q67" s="22">
        <v>164000</v>
      </c>
    </row>
    <row r="68" spans="1:17" x14ac:dyDescent="0.25">
      <c r="A68" s="3" t="s">
        <v>35</v>
      </c>
      <c r="B68" s="13" t="s">
        <v>76</v>
      </c>
      <c r="C68" s="13" t="s">
        <v>10</v>
      </c>
      <c r="D68" s="14">
        <v>2072000</v>
      </c>
      <c r="E68" s="16"/>
      <c r="F68" s="14"/>
      <c r="G68" s="14">
        <v>1451555</v>
      </c>
      <c r="H68" s="14">
        <f t="shared" si="4"/>
        <v>620445</v>
      </c>
      <c r="I68" s="20">
        <v>2050</v>
      </c>
      <c r="M68" s="22">
        <f t="shared" si="0"/>
        <v>52405</v>
      </c>
      <c r="N68" s="25">
        <f t="shared" si="1"/>
        <v>1399150</v>
      </c>
      <c r="O68" s="25">
        <f t="shared" si="2"/>
        <v>984000</v>
      </c>
      <c r="P68" s="31">
        <f t="shared" si="3"/>
        <v>184500</v>
      </c>
      <c r="Q68" s="22">
        <v>230650</v>
      </c>
    </row>
    <row r="69" spans="1:17" x14ac:dyDescent="0.25">
      <c r="A69" s="3" t="s">
        <v>35</v>
      </c>
      <c r="B69" s="13" t="s">
        <v>76</v>
      </c>
      <c r="C69" s="13" t="s">
        <v>36</v>
      </c>
      <c r="D69" s="14">
        <v>649600</v>
      </c>
      <c r="E69" s="16"/>
      <c r="F69" s="14"/>
      <c r="G69" s="14">
        <v>235396</v>
      </c>
      <c r="H69" s="14">
        <f t="shared" si="4"/>
        <v>414204</v>
      </c>
      <c r="I69" s="20">
        <v>290</v>
      </c>
      <c r="M69" s="22">
        <f t="shared" ref="M69:M134" si="14">+F69+G69-N69</f>
        <v>-4804</v>
      </c>
      <c r="N69" s="25">
        <f t="shared" ref="N69:N134" si="15">+SUM(O69:Q69)</f>
        <v>240200</v>
      </c>
      <c r="O69" s="25">
        <f t="shared" ref="O69:O134" si="16">+I69/$R$3*$S$3</f>
        <v>139200</v>
      </c>
      <c r="P69" s="31">
        <f t="shared" ref="P69:P134" si="17">+I69*$T$3</f>
        <v>26100</v>
      </c>
      <c r="Q69" s="22">
        <v>74900</v>
      </c>
    </row>
    <row r="70" spans="1:17" x14ac:dyDescent="0.25">
      <c r="A70" s="3" t="s">
        <v>35</v>
      </c>
      <c r="B70" s="13" t="s">
        <v>76</v>
      </c>
      <c r="C70" s="13" t="s">
        <v>77</v>
      </c>
      <c r="D70" s="14">
        <v>609280</v>
      </c>
      <c r="E70" s="16"/>
      <c r="F70" s="14"/>
      <c r="G70" s="14">
        <v>222959</v>
      </c>
      <c r="H70" s="14">
        <f t="shared" si="4"/>
        <v>386321</v>
      </c>
      <c r="I70" s="20">
        <v>272</v>
      </c>
      <c r="M70" s="22">
        <f t="shared" si="14"/>
        <v>34919</v>
      </c>
      <c r="N70" s="25">
        <f t="shared" si="15"/>
        <v>188040</v>
      </c>
      <c r="O70" s="25">
        <f t="shared" si="16"/>
        <v>130560</v>
      </c>
      <c r="P70" s="31">
        <f t="shared" si="17"/>
        <v>24480</v>
      </c>
      <c r="Q70" s="22">
        <v>33000</v>
      </c>
    </row>
    <row r="71" spans="1:17" x14ac:dyDescent="0.25">
      <c r="A71" s="3" t="s">
        <v>35</v>
      </c>
      <c r="B71" s="13" t="s">
        <v>76</v>
      </c>
      <c r="C71" s="13" t="s">
        <v>12</v>
      </c>
      <c r="D71" s="14">
        <v>818720</v>
      </c>
      <c r="E71" s="16"/>
      <c r="F71" s="14"/>
      <c r="G71" s="14">
        <v>275475</v>
      </c>
      <c r="H71" s="14">
        <f t="shared" si="4"/>
        <v>543245</v>
      </c>
      <c r="I71" s="20">
        <v>348</v>
      </c>
      <c r="M71" s="22">
        <f t="shared" si="14"/>
        <v>15215</v>
      </c>
      <c r="N71" s="25">
        <f t="shared" si="15"/>
        <v>260260</v>
      </c>
      <c r="O71" s="25">
        <f t="shared" si="16"/>
        <v>167040</v>
      </c>
      <c r="P71" s="31">
        <f t="shared" si="17"/>
        <v>31320</v>
      </c>
      <c r="Q71" s="22">
        <v>61900</v>
      </c>
    </row>
    <row r="72" spans="1:17" x14ac:dyDescent="0.25">
      <c r="A72" s="3" t="s">
        <v>35</v>
      </c>
      <c r="B72" s="13" t="s">
        <v>76</v>
      </c>
      <c r="C72" s="13" t="s">
        <v>71</v>
      </c>
      <c r="D72" s="14">
        <v>760480</v>
      </c>
      <c r="E72" s="16"/>
      <c r="F72" s="14"/>
      <c r="G72" s="14">
        <v>257511</v>
      </c>
      <c r="H72" s="14">
        <f t="shared" si="4"/>
        <v>502969</v>
      </c>
      <c r="I72" s="20">
        <v>322</v>
      </c>
      <c r="M72" s="22">
        <f t="shared" si="14"/>
        <v>-929</v>
      </c>
      <c r="N72" s="25">
        <f t="shared" si="15"/>
        <v>258440</v>
      </c>
      <c r="O72" s="25">
        <f t="shared" si="16"/>
        <v>154560</v>
      </c>
      <c r="P72" s="31">
        <f t="shared" si="17"/>
        <v>28980</v>
      </c>
      <c r="Q72" s="22">
        <v>74900</v>
      </c>
    </row>
    <row r="73" spans="1:17" x14ac:dyDescent="0.25">
      <c r="A73" s="3" t="s">
        <v>38</v>
      </c>
      <c r="B73" s="13" t="s">
        <v>77</v>
      </c>
      <c r="C73" s="13" t="s">
        <v>73</v>
      </c>
      <c r="D73" s="14">
        <v>327750</v>
      </c>
      <c r="E73" s="16"/>
      <c r="F73" s="14">
        <v>38700.5</v>
      </c>
      <c r="G73" s="14"/>
      <c r="H73" s="14">
        <f t="shared" si="4"/>
        <v>289049.5</v>
      </c>
      <c r="I73" s="20">
        <v>24</v>
      </c>
      <c r="M73" s="22">
        <f t="shared" si="14"/>
        <v>-3879.5</v>
      </c>
      <c r="N73" s="25">
        <f t="shared" si="15"/>
        <v>42580</v>
      </c>
      <c r="O73" s="25">
        <f t="shared" si="16"/>
        <v>11520</v>
      </c>
      <c r="P73" s="31">
        <f t="shared" si="17"/>
        <v>2160</v>
      </c>
      <c r="Q73" s="22">
        <v>28900</v>
      </c>
    </row>
    <row r="74" spans="1:17" x14ac:dyDescent="0.25">
      <c r="A74" s="3" t="s">
        <v>38</v>
      </c>
      <c r="B74" s="13" t="s">
        <v>77</v>
      </c>
      <c r="C74" s="13" t="s">
        <v>22</v>
      </c>
      <c r="D74" s="14">
        <v>327750</v>
      </c>
      <c r="E74" s="16"/>
      <c r="F74" s="14">
        <v>45488</v>
      </c>
      <c r="G74" s="14"/>
      <c r="H74" s="14">
        <f t="shared" si="4"/>
        <v>282262</v>
      </c>
      <c r="I74" s="20">
        <v>57</v>
      </c>
      <c r="M74" s="22">
        <f t="shared" si="14"/>
        <v>-28102</v>
      </c>
      <c r="N74" s="25">
        <f t="shared" si="15"/>
        <v>73590</v>
      </c>
      <c r="O74" s="25">
        <f t="shared" si="16"/>
        <v>27360</v>
      </c>
      <c r="P74" s="31">
        <f t="shared" si="17"/>
        <v>5130</v>
      </c>
      <c r="Q74" s="22">
        <v>41100</v>
      </c>
    </row>
    <row r="75" spans="1:17" x14ac:dyDescent="0.25">
      <c r="A75" s="3" t="s">
        <v>38</v>
      </c>
      <c r="B75" s="13" t="s">
        <v>77</v>
      </c>
      <c r="C75" s="13" t="s">
        <v>78</v>
      </c>
      <c r="D75" s="14">
        <v>370300</v>
      </c>
      <c r="E75" s="16"/>
      <c r="F75" s="14">
        <v>69673</v>
      </c>
      <c r="G75" s="14"/>
      <c r="H75" s="14">
        <f t="shared" ref="H75:H113" si="18">+D75-F75-G75</f>
        <v>300627</v>
      </c>
      <c r="I75" s="20">
        <v>92</v>
      </c>
      <c r="M75" s="22">
        <f t="shared" si="14"/>
        <v>-14567</v>
      </c>
      <c r="N75" s="25">
        <f t="shared" si="15"/>
        <v>84240</v>
      </c>
      <c r="O75" s="25">
        <f t="shared" si="16"/>
        <v>44160</v>
      </c>
      <c r="P75" s="31">
        <f t="shared" si="17"/>
        <v>8280</v>
      </c>
      <c r="Q75" s="22">
        <v>31800</v>
      </c>
    </row>
    <row r="76" spans="1:17" x14ac:dyDescent="0.25">
      <c r="A76" s="3" t="s">
        <v>38</v>
      </c>
      <c r="B76" s="13" t="s">
        <v>77</v>
      </c>
      <c r="C76" s="13" t="s">
        <v>21</v>
      </c>
      <c r="D76" s="14">
        <v>322000</v>
      </c>
      <c r="E76" s="16"/>
      <c r="F76" s="14">
        <v>49710</v>
      </c>
      <c r="G76" s="14"/>
      <c r="H76" s="14">
        <f t="shared" si="18"/>
        <v>272290</v>
      </c>
      <c r="I76" s="20">
        <v>64</v>
      </c>
      <c r="M76" s="22">
        <f t="shared" si="14"/>
        <v>-41670</v>
      </c>
      <c r="N76" s="25">
        <f t="shared" si="15"/>
        <v>91380</v>
      </c>
      <c r="O76" s="25">
        <f t="shared" si="16"/>
        <v>30720</v>
      </c>
      <c r="P76" s="31">
        <f t="shared" si="17"/>
        <v>5760</v>
      </c>
      <c r="Q76" s="22">
        <v>54900</v>
      </c>
    </row>
    <row r="77" spans="1:17" x14ac:dyDescent="0.25">
      <c r="A77" s="3" t="s">
        <v>38</v>
      </c>
      <c r="B77" s="13" t="s">
        <v>77</v>
      </c>
      <c r="C77" s="13" t="s">
        <v>10</v>
      </c>
      <c r="D77" s="14">
        <v>2127500</v>
      </c>
      <c r="E77" s="16"/>
      <c r="F77" s="14">
        <v>791252.5</v>
      </c>
      <c r="G77" s="14"/>
      <c r="H77" s="14">
        <f t="shared" si="18"/>
        <v>1336247.5</v>
      </c>
      <c r="I77" s="20">
        <v>2050</v>
      </c>
      <c r="M77" s="22">
        <f t="shared" si="14"/>
        <v>-587897.5</v>
      </c>
      <c r="N77" s="25">
        <f t="shared" si="15"/>
        <v>1379150</v>
      </c>
      <c r="O77" s="25">
        <f t="shared" si="16"/>
        <v>984000</v>
      </c>
      <c r="P77" s="31">
        <f t="shared" si="17"/>
        <v>184500</v>
      </c>
      <c r="Q77" s="22">
        <v>210650</v>
      </c>
    </row>
    <row r="78" spans="1:17" x14ac:dyDescent="0.25">
      <c r="A78" s="3" t="s">
        <v>38</v>
      </c>
      <c r="B78" s="13" t="s">
        <v>77</v>
      </c>
      <c r="C78" s="13" t="s">
        <v>77</v>
      </c>
      <c r="D78" s="14">
        <v>120750</v>
      </c>
      <c r="E78" s="16"/>
      <c r="F78" s="14">
        <v>11323</v>
      </c>
      <c r="G78" s="14"/>
      <c r="H78" s="14">
        <f t="shared" si="18"/>
        <v>109427</v>
      </c>
      <c r="I78" s="20">
        <v>8</v>
      </c>
      <c r="M78" s="22">
        <f t="shared" si="14"/>
        <v>-9937</v>
      </c>
      <c r="N78" s="25">
        <f t="shared" si="15"/>
        <v>21260</v>
      </c>
      <c r="O78" s="25">
        <f t="shared" si="16"/>
        <v>3840</v>
      </c>
      <c r="P78" s="31">
        <f t="shared" si="17"/>
        <v>720</v>
      </c>
      <c r="Q78" s="22">
        <v>16700</v>
      </c>
    </row>
    <row r="79" spans="1:17" x14ac:dyDescent="0.25">
      <c r="A79" s="3" t="s">
        <v>38</v>
      </c>
      <c r="B79" s="13" t="s">
        <v>77</v>
      </c>
      <c r="C79" s="13" t="s">
        <v>18</v>
      </c>
      <c r="D79" s="14">
        <v>143750</v>
      </c>
      <c r="E79" s="16"/>
      <c r="F79" s="14">
        <v>14778.5</v>
      </c>
      <c r="G79" s="14"/>
      <c r="H79" s="14">
        <f t="shared" si="18"/>
        <v>128971.5</v>
      </c>
      <c r="I79" s="20">
        <v>13</v>
      </c>
      <c r="M79" s="22">
        <f t="shared" si="14"/>
        <v>-47531.5</v>
      </c>
      <c r="N79" s="25">
        <f t="shared" si="15"/>
        <v>62310</v>
      </c>
      <c r="O79" s="25">
        <f t="shared" si="16"/>
        <v>6240</v>
      </c>
      <c r="P79" s="31">
        <f t="shared" si="17"/>
        <v>1170</v>
      </c>
      <c r="Q79" s="22">
        <v>54900</v>
      </c>
    </row>
    <row r="80" spans="1:17" x14ac:dyDescent="0.25">
      <c r="A80" s="3" t="s">
        <v>38</v>
      </c>
      <c r="B80" s="13" t="s">
        <v>77</v>
      </c>
      <c r="C80" s="13" t="s">
        <v>76</v>
      </c>
      <c r="D80" s="14">
        <v>625600</v>
      </c>
      <c r="E80" s="16"/>
      <c r="F80" s="14"/>
      <c r="G80" s="14">
        <v>200160</v>
      </c>
      <c r="H80" s="14">
        <f t="shared" si="18"/>
        <v>425440</v>
      </c>
      <c r="I80" s="20">
        <v>272</v>
      </c>
      <c r="M80" s="22">
        <f t="shared" si="14"/>
        <v>-2480</v>
      </c>
      <c r="N80" s="25">
        <f t="shared" si="15"/>
        <v>202640</v>
      </c>
      <c r="O80" s="25">
        <f t="shared" si="16"/>
        <v>130560</v>
      </c>
      <c r="P80" s="31">
        <f t="shared" si="17"/>
        <v>24480</v>
      </c>
      <c r="Q80" s="22">
        <v>47600</v>
      </c>
    </row>
    <row r="81" spans="1:17" x14ac:dyDescent="0.25">
      <c r="A81" s="3" t="s">
        <v>38</v>
      </c>
      <c r="B81" s="13" t="s">
        <v>77</v>
      </c>
      <c r="C81" s="13" t="s">
        <v>12</v>
      </c>
      <c r="D81" s="14">
        <v>314985</v>
      </c>
      <c r="E81" s="16"/>
      <c r="F81" s="14">
        <v>63457.5</v>
      </c>
      <c r="G81" s="14"/>
      <c r="H81" s="14">
        <f t="shared" si="18"/>
        <v>251527.5</v>
      </c>
      <c r="I81" s="20">
        <v>50</v>
      </c>
      <c r="M81" s="22">
        <f t="shared" si="14"/>
        <v>-19942.5</v>
      </c>
      <c r="N81" s="25">
        <f t="shared" si="15"/>
        <v>83400</v>
      </c>
      <c r="O81" s="25">
        <f t="shared" si="16"/>
        <v>24000</v>
      </c>
      <c r="P81" s="31">
        <f t="shared" si="17"/>
        <v>4500</v>
      </c>
      <c r="Q81" s="22">
        <v>54900</v>
      </c>
    </row>
    <row r="82" spans="1:17" x14ac:dyDescent="0.25">
      <c r="A82" s="3" t="s">
        <v>38</v>
      </c>
      <c r="B82" s="13" t="s">
        <v>77</v>
      </c>
      <c r="C82" s="13" t="s">
        <v>71</v>
      </c>
      <c r="D82" s="14">
        <v>327750</v>
      </c>
      <c r="E82" s="16"/>
      <c r="F82" s="14">
        <v>45492</v>
      </c>
      <c r="G82" s="14"/>
      <c r="H82" s="14">
        <f t="shared" si="18"/>
        <v>282258</v>
      </c>
      <c r="I82" s="20">
        <v>57</v>
      </c>
      <c r="M82" s="22">
        <f t="shared" si="14"/>
        <v>-41898</v>
      </c>
      <c r="N82" s="25">
        <f t="shared" si="15"/>
        <v>87390</v>
      </c>
      <c r="O82" s="25">
        <f t="shared" si="16"/>
        <v>27360</v>
      </c>
      <c r="P82" s="31">
        <f t="shared" si="17"/>
        <v>5130</v>
      </c>
      <c r="Q82" s="22">
        <v>54900</v>
      </c>
    </row>
    <row r="83" spans="1:17" x14ac:dyDescent="0.25">
      <c r="A83" s="3" t="s">
        <v>38</v>
      </c>
      <c r="B83" s="13" t="s">
        <v>77</v>
      </c>
      <c r="C83" s="13" t="s">
        <v>68</v>
      </c>
      <c r="D83" s="14">
        <v>517500</v>
      </c>
      <c r="E83" s="16"/>
      <c r="F83" s="14">
        <v>91248.5</v>
      </c>
      <c r="G83" s="14"/>
      <c r="H83" s="14">
        <f t="shared" si="18"/>
        <v>426251.5</v>
      </c>
      <c r="I83" s="20">
        <v>125</v>
      </c>
      <c r="M83" s="22">
        <f t="shared" si="14"/>
        <v>-42501.5</v>
      </c>
      <c r="N83" s="25">
        <f t="shared" si="15"/>
        <v>133750</v>
      </c>
      <c r="O83" s="25">
        <f t="shared" si="16"/>
        <v>60000</v>
      </c>
      <c r="P83" s="31">
        <f t="shared" si="17"/>
        <v>11250</v>
      </c>
      <c r="Q83" s="22">
        <v>62500</v>
      </c>
    </row>
    <row r="84" spans="1:17" x14ac:dyDescent="0.25">
      <c r="A84" s="3" t="s">
        <v>39</v>
      </c>
      <c r="B84" s="13" t="s">
        <v>74</v>
      </c>
      <c r="C84" s="13" t="s">
        <v>32</v>
      </c>
      <c r="D84" s="14"/>
      <c r="E84" s="16">
        <v>74.400000000000006</v>
      </c>
      <c r="F84" s="14"/>
      <c r="G84" s="14">
        <v>933672</v>
      </c>
      <c r="H84" s="14">
        <f t="shared" si="18"/>
        <v>-933672</v>
      </c>
      <c r="I84" s="20">
        <v>1192</v>
      </c>
      <c r="M84" s="22">
        <f t="shared" si="14"/>
        <v>30232</v>
      </c>
      <c r="N84" s="25">
        <f t="shared" si="15"/>
        <v>903440</v>
      </c>
      <c r="O84" s="25">
        <f t="shared" si="16"/>
        <v>572160</v>
      </c>
      <c r="P84" s="31">
        <f t="shared" si="17"/>
        <v>107280</v>
      </c>
      <c r="Q84" s="22">
        <v>224000</v>
      </c>
    </row>
    <row r="85" spans="1:17" x14ac:dyDescent="0.25">
      <c r="A85" s="3" t="s">
        <v>39</v>
      </c>
      <c r="B85" s="13" t="s">
        <v>74</v>
      </c>
      <c r="C85" s="13" t="s">
        <v>8</v>
      </c>
      <c r="D85" s="14"/>
      <c r="E85" s="16">
        <v>55.8</v>
      </c>
      <c r="F85" s="14"/>
      <c r="G85" s="14">
        <v>856280</v>
      </c>
      <c r="H85" s="14">
        <f t="shared" si="18"/>
        <v>-856280</v>
      </c>
      <c r="I85" s="20">
        <v>1080</v>
      </c>
      <c r="J85" s="28">
        <v>1374340</v>
      </c>
      <c r="K85" s="22">
        <f>+D85-J85</f>
        <v>-1374340</v>
      </c>
      <c r="M85" s="22">
        <f t="shared" si="14"/>
        <v>66680</v>
      </c>
      <c r="N85" s="25">
        <f t="shared" si="15"/>
        <v>789600</v>
      </c>
      <c r="O85" s="25">
        <f t="shared" si="16"/>
        <v>518400</v>
      </c>
      <c r="P85" s="31">
        <f t="shared" si="17"/>
        <v>97200</v>
      </c>
      <c r="Q85" s="22">
        <v>174000</v>
      </c>
    </row>
    <row r="86" spans="1:17" x14ac:dyDescent="0.25">
      <c r="A86" s="3" t="s">
        <v>39</v>
      </c>
      <c r="B86" s="13" t="s">
        <v>74</v>
      </c>
      <c r="C86" s="13" t="s">
        <v>31</v>
      </c>
      <c r="D86" s="14"/>
      <c r="E86" s="16">
        <v>52.1</v>
      </c>
      <c r="F86" s="14"/>
      <c r="G86" s="14">
        <v>747102</v>
      </c>
      <c r="H86" s="14">
        <f t="shared" si="18"/>
        <v>-747102</v>
      </c>
      <c r="I86" s="20">
        <v>922</v>
      </c>
      <c r="M86" s="22">
        <f t="shared" si="14"/>
        <v>79462</v>
      </c>
      <c r="N86" s="25">
        <f t="shared" si="15"/>
        <v>667640</v>
      </c>
      <c r="O86" s="25">
        <f t="shared" si="16"/>
        <v>442560</v>
      </c>
      <c r="P86" s="31">
        <f t="shared" si="17"/>
        <v>82980</v>
      </c>
      <c r="Q86" s="22">
        <v>142100</v>
      </c>
    </row>
    <row r="87" spans="1:17" x14ac:dyDescent="0.25">
      <c r="A87" s="3" t="s">
        <v>39</v>
      </c>
      <c r="B87" s="13" t="s">
        <v>6</v>
      </c>
      <c r="C87" s="13" t="s">
        <v>12</v>
      </c>
      <c r="D87" s="14"/>
      <c r="E87" s="16">
        <v>27.3</v>
      </c>
      <c r="F87" s="14"/>
      <c r="G87" s="14">
        <v>496960</v>
      </c>
      <c r="H87" s="14">
        <f t="shared" si="18"/>
        <v>-496960</v>
      </c>
      <c r="I87" s="20">
        <v>560</v>
      </c>
      <c r="M87" s="22">
        <f t="shared" si="14"/>
        <v>92060</v>
      </c>
      <c r="N87" s="25">
        <f t="shared" si="15"/>
        <v>404900</v>
      </c>
      <c r="O87" s="25">
        <f t="shared" si="16"/>
        <v>268800</v>
      </c>
      <c r="P87" s="31">
        <f t="shared" si="17"/>
        <v>50400</v>
      </c>
      <c r="Q87" s="22">
        <v>85700</v>
      </c>
    </row>
    <row r="88" spans="1:17" x14ac:dyDescent="0.25">
      <c r="A88" s="3" t="s">
        <v>37</v>
      </c>
      <c r="B88" s="13" t="s">
        <v>71</v>
      </c>
      <c r="C88" s="13" t="s">
        <v>75</v>
      </c>
      <c r="D88" s="14">
        <v>400000</v>
      </c>
      <c r="E88" s="16"/>
      <c r="F88" s="14">
        <v>115232</v>
      </c>
      <c r="G88" s="14"/>
      <c r="H88" s="14">
        <f t="shared" si="18"/>
        <v>284768</v>
      </c>
      <c r="I88" s="20">
        <v>160</v>
      </c>
      <c r="M88" s="22">
        <f t="shared" si="14"/>
        <v>-4868</v>
      </c>
      <c r="N88" s="25">
        <f t="shared" si="15"/>
        <v>120100</v>
      </c>
      <c r="O88" s="25">
        <f t="shared" si="16"/>
        <v>76800</v>
      </c>
      <c r="P88" s="31">
        <f t="shared" si="17"/>
        <v>14400</v>
      </c>
      <c r="Q88" s="22">
        <v>28900</v>
      </c>
    </row>
    <row r="89" spans="1:17" x14ac:dyDescent="0.25">
      <c r="A89" s="3" t="s">
        <v>37</v>
      </c>
      <c r="B89" s="13" t="s">
        <v>71</v>
      </c>
      <c r="C89" s="13" t="s">
        <v>245</v>
      </c>
      <c r="D89" s="14">
        <v>493400</v>
      </c>
      <c r="E89" s="16"/>
      <c r="F89" s="14">
        <f>+I89*800</f>
        <v>102400</v>
      </c>
      <c r="G89" s="14"/>
      <c r="H89" s="14">
        <f>+D89-F89</f>
        <v>391000</v>
      </c>
      <c r="I89" s="20">
        <v>128</v>
      </c>
      <c r="J89" s="28">
        <v>287670</v>
      </c>
      <c r="K89" s="22">
        <f>+D89-J89</f>
        <v>205730</v>
      </c>
      <c r="M89" s="22">
        <f t="shared" si="14"/>
        <v>-20560</v>
      </c>
      <c r="N89" s="25">
        <f t="shared" si="15"/>
        <v>122960</v>
      </c>
      <c r="O89" s="25">
        <f t="shared" si="16"/>
        <v>61440</v>
      </c>
      <c r="P89" s="31">
        <f t="shared" si="17"/>
        <v>11520</v>
      </c>
      <c r="Q89" s="22">
        <v>50000</v>
      </c>
    </row>
    <row r="90" spans="1:17" x14ac:dyDescent="0.25">
      <c r="A90" s="3" t="s">
        <v>37</v>
      </c>
      <c r="B90" s="13" t="s">
        <v>71</v>
      </c>
      <c r="C90" s="13" t="s">
        <v>40</v>
      </c>
      <c r="D90" s="14">
        <v>425000</v>
      </c>
      <c r="E90" s="16"/>
      <c r="F90" s="14">
        <v>134790</v>
      </c>
      <c r="G90" s="14"/>
      <c r="H90" s="14">
        <f t="shared" si="18"/>
        <v>290210</v>
      </c>
      <c r="I90" s="20">
        <v>254</v>
      </c>
      <c r="M90" s="22">
        <f t="shared" si="14"/>
        <v>-68990</v>
      </c>
      <c r="N90" s="25">
        <f t="shared" si="15"/>
        <v>203780</v>
      </c>
      <c r="O90" s="25">
        <f t="shared" si="16"/>
        <v>121920</v>
      </c>
      <c r="P90" s="31">
        <f t="shared" si="17"/>
        <v>22860</v>
      </c>
      <c r="Q90" s="22">
        <v>59000</v>
      </c>
    </row>
    <row r="91" spans="1:17" x14ac:dyDescent="0.25">
      <c r="A91" s="3" t="s">
        <v>37</v>
      </c>
      <c r="B91" s="13" t="s">
        <v>71</v>
      </c>
      <c r="C91" s="13" t="s">
        <v>79</v>
      </c>
      <c r="D91" s="14">
        <v>330000</v>
      </c>
      <c r="E91" s="16"/>
      <c r="F91" s="14">
        <v>84780</v>
      </c>
      <c r="G91" s="14"/>
      <c r="H91" s="14">
        <f t="shared" si="18"/>
        <v>245220</v>
      </c>
      <c r="I91" s="20">
        <v>280</v>
      </c>
      <c r="M91" s="22">
        <f t="shared" si="14"/>
        <v>-103820</v>
      </c>
      <c r="N91" s="25">
        <f t="shared" si="15"/>
        <v>188600</v>
      </c>
      <c r="O91" s="25">
        <f t="shared" si="16"/>
        <v>134400</v>
      </c>
      <c r="P91" s="31">
        <f t="shared" si="17"/>
        <v>25200</v>
      </c>
      <c r="Q91" s="22">
        <v>29000</v>
      </c>
    </row>
    <row r="92" spans="1:17" x14ac:dyDescent="0.25">
      <c r="A92" s="3" t="s">
        <v>37</v>
      </c>
      <c r="B92" s="13" t="s">
        <v>71</v>
      </c>
      <c r="C92" s="13" t="s">
        <v>6</v>
      </c>
      <c r="D92" s="14">
        <v>1159000</v>
      </c>
      <c r="E92" s="16"/>
      <c r="F92" s="14"/>
      <c r="G92" s="14">
        <v>496960</v>
      </c>
      <c r="H92" s="14">
        <f t="shared" si="18"/>
        <v>662040</v>
      </c>
      <c r="I92" s="20">
        <v>560</v>
      </c>
      <c r="J92" s="28">
        <v>924675</v>
      </c>
      <c r="K92" s="22">
        <f>+D92-J92</f>
        <v>234325</v>
      </c>
      <c r="M92" s="22">
        <f t="shared" si="14"/>
        <v>92060</v>
      </c>
      <c r="N92" s="25">
        <f t="shared" si="15"/>
        <v>404900</v>
      </c>
      <c r="O92" s="25">
        <f t="shared" si="16"/>
        <v>268800</v>
      </c>
      <c r="P92" s="31">
        <f t="shared" si="17"/>
        <v>50400</v>
      </c>
      <c r="Q92" s="22">
        <v>85700</v>
      </c>
    </row>
    <row r="93" spans="1:17" x14ac:dyDescent="0.25">
      <c r="A93" s="3" t="s">
        <v>37</v>
      </c>
      <c r="B93" s="13" t="s">
        <v>71</v>
      </c>
      <c r="C93" s="13" t="s">
        <v>184</v>
      </c>
      <c r="D93" s="14">
        <v>670000</v>
      </c>
      <c r="E93" s="16"/>
      <c r="F93" s="14">
        <v>184520</v>
      </c>
      <c r="G93" s="14"/>
      <c r="H93" s="14">
        <f t="shared" si="18"/>
        <v>485480</v>
      </c>
      <c r="I93" s="20">
        <v>220</v>
      </c>
      <c r="M93" s="22">
        <f t="shared" si="14"/>
        <v>4220</v>
      </c>
      <c r="N93" s="25">
        <f t="shared" si="15"/>
        <v>180300</v>
      </c>
      <c r="O93" s="25">
        <f t="shared" si="16"/>
        <v>105600</v>
      </c>
      <c r="P93" s="31">
        <f t="shared" si="17"/>
        <v>19800</v>
      </c>
      <c r="Q93" s="22">
        <v>54900</v>
      </c>
    </row>
    <row r="94" spans="1:17" x14ac:dyDescent="0.25">
      <c r="A94" s="3" t="s">
        <v>37</v>
      </c>
      <c r="B94" s="13" t="s">
        <v>71</v>
      </c>
      <c r="C94" s="13" t="s">
        <v>29</v>
      </c>
      <c r="D94" s="14">
        <v>990000</v>
      </c>
      <c r="E94" s="16"/>
      <c r="F94" s="14"/>
      <c r="G94" s="14">
        <v>389130</v>
      </c>
      <c r="H94" s="14">
        <f t="shared" si="18"/>
        <v>600870</v>
      </c>
      <c r="I94" s="20">
        <v>430</v>
      </c>
      <c r="M94" s="22">
        <f t="shared" si="14"/>
        <v>69130</v>
      </c>
      <c r="N94" s="25">
        <f t="shared" si="15"/>
        <v>320000</v>
      </c>
      <c r="O94" s="25">
        <f t="shared" si="16"/>
        <v>206400</v>
      </c>
      <c r="P94" s="31">
        <f t="shared" si="17"/>
        <v>38700</v>
      </c>
      <c r="Q94" s="22">
        <v>74900</v>
      </c>
    </row>
    <row r="95" spans="1:17" x14ac:dyDescent="0.25">
      <c r="A95" s="3" t="s">
        <v>37</v>
      </c>
      <c r="B95" s="13" t="s">
        <v>71</v>
      </c>
      <c r="C95" s="13" t="s">
        <v>21</v>
      </c>
      <c r="D95" s="14">
        <v>395000</v>
      </c>
      <c r="E95" s="16"/>
      <c r="F95" s="14">
        <v>84190</v>
      </c>
      <c r="G95" s="14"/>
      <c r="H95" s="14">
        <f t="shared" si="18"/>
        <v>310810</v>
      </c>
      <c r="I95" s="20">
        <v>90</v>
      </c>
      <c r="M95" s="22">
        <f t="shared" si="14"/>
        <v>5590</v>
      </c>
      <c r="N95" s="25">
        <f t="shared" si="15"/>
        <v>78600</v>
      </c>
      <c r="O95" s="25">
        <f t="shared" si="16"/>
        <v>43200</v>
      </c>
      <c r="P95" s="31">
        <f t="shared" si="17"/>
        <v>8100</v>
      </c>
      <c r="Q95" s="22">
        <v>27300</v>
      </c>
    </row>
    <row r="96" spans="1:17" x14ac:dyDescent="0.25">
      <c r="A96" s="3" t="s">
        <v>37</v>
      </c>
      <c r="B96" s="13" t="s">
        <v>71</v>
      </c>
      <c r="C96" s="13" t="s">
        <v>25</v>
      </c>
      <c r="D96" s="14">
        <v>595000</v>
      </c>
      <c r="E96" s="16"/>
      <c r="F96" s="14">
        <v>156880</v>
      </c>
      <c r="G96" s="14"/>
      <c r="H96" s="14">
        <f t="shared" si="18"/>
        <v>438120</v>
      </c>
      <c r="I96" s="20">
        <v>180</v>
      </c>
      <c r="M96" s="22">
        <f t="shared" si="14"/>
        <v>-620</v>
      </c>
      <c r="N96" s="25">
        <f t="shared" si="15"/>
        <v>157500</v>
      </c>
      <c r="O96" s="25">
        <f t="shared" si="16"/>
        <v>86400</v>
      </c>
      <c r="P96" s="31">
        <f t="shared" si="17"/>
        <v>16200</v>
      </c>
      <c r="Q96" s="22">
        <v>54900</v>
      </c>
    </row>
    <row r="97" spans="1:17" x14ac:dyDescent="0.25">
      <c r="A97" s="3" t="s">
        <v>37</v>
      </c>
      <c r="B97" s="13" t="s">
        <v>71</v>
      </c>
      <c r="C97" s="13" t="s">
        <v>31</v>
      </c>
      <c r="D97" s="14">
        <v>1650000</v>
      </c>
      <c r="E97" s="16"/>
      <c r="F97" s="14"/>
      <c r="G97" s="14">
        <v>747102</v>
      </c>
      <c r="H97" s="14">
        <f t="shared" si="18"/>
        <v>902898</v>
      </c>
      <c r="I97" s="20">
        <v>922</v>
      </c>
      <c r="M97" s="22">
        <f t="shared" si="14"/>
        <v>79462</v>
      </c>
      <c r="N97" s="25">
        <f t="shared" si="15"/>
        <v>667640</v>
      </c>
      <c r="O97" s="25">
        <f t="shared" si="16"/>
        <v>442560</v>
      </c>
      <c r="P97" s="31">
        <f t="shared" si="17"/>
        <v>82980</v>
      </c>
      <c r="Q97" s="22">
        <v>142100</v>
      </c>
    </row>
    <row r="98" spans="1:17" x14ac:dyDescent="0.25">
      <c r="A98" s="3" t="s">
        <v>37</v>
      </c>
      <c r="B98" s="13" t="s">
        <v>71</v>
      </c>
      <c r="C98" s="13" t="s">
        <v>274</v>
      </c>
      <c r="D98" s="14">
        <v>290000</v>
      </c>
      <c r="E98" s="16"/>
      <c r="F98" s="14"/>
      <c r="G98" s="14"/>
      <c r="H98" s="14">
        <f t="shared" si="18"/>
        <v>290000</v>
      </c>
      <c r="I98" s="20">
        <v>22</v>
      </c>
      <c r="M98" s="22">
        <f t="shared" si="14"/>
        <v>-25740</v>
      </c>
      <c r="N98" s="25">
        <f t="shared" ref="N98:N99" si="19">+SUM(O98:Q98)</f>
        <v>25740</v>
      </c>
      <c r="O98" s="25">
        <f t="shared" ref="O98:O99" si="20">+I98/$R$3*$S$3</f>
        <v>10560</v>
      </c>
      <c r="P98" s="31">
        <f t="shared" si="17"/>
        <v>1980</v>
      </c>
      <c r="Q98" s="22">
        <v>13200</v>
      </c>
    </row>
    <row r="99" spans="1:17" x14ac:dyDescent="0.25">
      <c r="A99" s="3" t="s">
        <v>37</v>
      </c>
      <c r="B99" s="13" t="s">
        <v>71</v>
      </c>
      <c r="C99" s="13" t="s">
        <v>68</v>
      </c>
      <c r="D99" s="14">
        <v>450000</v>
      </c>
      <c r="E99" s="16"/>
      <c r="F99" s="14"/>
      <c r="G99" s="14"/>
      <c r="H99" s="14">
        <f t="shared" si="18"/>
        <v>450000</v>
      </c>
      <c r="I99" s="20">
        <v>84</v>
      </c>
      <c r="M99" s="22">
        <f t="shared" si="14"/>
        <v>-57880</v>
      </c>
      <c r="N99" s="25">
        <f t="shared" si="19"/>
        <v>57880</v>
      </c>
      <c r="O99" s="25">
        <f t="shared" si="20"/>
        <v>40320</v>
      </c>
      <c r="P99" s="31">
        <f t="shared" si="17"/>
        <v>7560</v>
      </c>
      <c r="Q99" s="22">
        <v>10000</v>
      </c>
    </row>
    <row r="100" spans="1:17" x14ac:dyDescent="0.25">
      <c r="A100" s="3" t="s">
        <v>176</v>
      </c>
      <c r="B100" s="13" t="s">
        <v>8</v>
      </c>
      <c r="C100" s="13" t="s">
        <v>6</v>
      </c>
      <c r="D100" s="14"/>
      <c r="E100" s="16">
        <v>25.8</v>
      </c>
      <c r="F100" s="14"/>
      <c r="G100" s="14">
        <v>557650</v>
      </c>
      <c r="H100" s="14">
        <f t="shared" si="18"/>
        <v>-557650</v>
      </c>
      <c r="I100" s="20">
        <v>670</v>
      </c>
      <c r="J100" s="28">
        <v>406000</v>
      </c>
      <c r="K100" s="22">
        <f>+D100-J100</f>
        <v>-406000</v>
      </c>
      <c r="M100" s="22">
        <f t="shared" si="14"/>
        <v>76650</v>
      </c>
      <c r="N100" s="25">
        <f t="shared" si="15"/>
        <v>481000</v>
      </c>
      <c r="O100" s="25">
        <f t="shared" si="16"/>
        <v>321600</v>
      </c>
      <c r="P100" s="31">
        <f t="shared" si="17"/>
        <v>60300</v>
      </c>
      <c r="Q100" s="22">
        <v>99100</v>
      </c>
    </row>
    <row r="101" spans="1:17" x14ac:dyDescent="0.25">
      <c r="A101" s="3" t="s">
        <v>180</v>
      </c>
      <c r="B101" s="13" t="s">
        <v>6</v>
      </c>
      <c r="C101" s="13" t="s">
        <v>6</v>
      </c>
      <c r="D101" s="14">
        <v>223380</v>
      </c>
      <c r="E101" s="16"/>
      <c r="F101" s="14">
        <v>35770</v>
      </c>
      <c r="G101" s="14"/>
      <c r="H101" s="14">
        <f t="shared" si="18"/>
        <v>187610</v>
      </c>
      <c r="I101" s="20">
        <v>20</v>
      </c>
      <c r="M101" s="22">
        <f t="shared" si="14"/>
        <v>13570</v>
      </c>
      <c r="N101" s="25">
        <f t="shared" si="15"/>
        <v>22200</v>
      </c>
      <c r="O101" s="25">
        <f t="shared" si="16"/>
        <v>9600</v>
      </c>
      <c r="P101" s="31">
        <f t="shared" si="17"/>
        <v>1800</v>
      </c>
      <c r="Q101" s="22">
        <v>10800</v>
      </c>
    </row>
    <row r="102" spans="1:17" x14ac:dyDescent="0.25">
      <c r="A102" s="3" t="s">
        <v>181</v>
      </c>
      <c r="B102" s="13" t="s">
        <v>6</v>
      </c>
      <c r="C102" s="13" t="s">
        <v>11</v>
      </c>
      <c r="D102" s="14">
        <v>248200</v>
      </c>
      <c r="E102" s="16"/>
      <c r="F102" s="14">
        <v>35770</v>
      </c>
      <c r="G102" s="14"/>
      <c r="H102" s="14">
        <f t="shared" si="18"/>
        <v>212430</v>
      </c>
      <c r="I102" s="20">
        <v>40</v>
      </c>
      <c r="M102" s="22">
        <f t="shared" si="14"/>
        <v>2170</v>
      </c>
      <c r="N102" s="25">
        <f t="shared" si="15"/>
        <v>33600</v>
      </c>
      <c r="O102" s="25">
        <f t="shared" si="16"/>
        <v>19200</v>
      </c>
      <c r="P102" s="31">
        <f t="shared" si="17"/>
        <v>3600</v>
      </c>
      <c r="Q102" s="22">
        <v>10800</v>
      </c>
    </row>
    <row r="103" spans="1:17" x14ac:dyDescent="0.25">
      <c r="A103" s="3" t="s">
        <v>180</v>
      </c>
      <c r="B103" s="13" t="s">
        <v>252</v>
      </c>
      <c r="C103" s="13" t="s">
        <v>251</v>
      </c>
      <c r="D103" s="14">
        <v>700000</v>
      </c>
      <c r="E103" s="16"/>
      <c r="F103" s="14"/>
      <c r="G103" s="14">
        <v>489320</v>
      </c>
      <c r="H103" s="14">
        <f t="shared" si="18"/>
        <v>210680</v>
      </c>
      <c r="I103" s="20">
        <v>560</v>
      </c>
      <c r="M103" s="22">
        <f t="shared" si="14"/>
        <v>84420</v>
      </c>
      <c r="N103" s="25">
        <f t="shared" si="15"/>
        <v>404900</v>
      </c>
      <c r="O103" s="25">
        <f t="shared" si="16"/>
        <v>268800</v>
      </c>
      <c r="P103" s="31">
        <f t="shared" si="17"/>
        <v>50400</v>
      </c>
      <c r="Q103" s="22">
        <v>85700</v>
      </c>
    </row>
    <row r="104" spans="1:17" x14ac:dyDescent="0.25">
      <c r="A104" s="3" t="s">
        <v>180</v>
      </c>
      <c r="B104" s="13" t="s">
        <v>11</v>
      </c>
      <c r="C104" s="13" t="s">
        <v>32</v>
      </c>
      <c r="D104" s="14">
        <v>1580000</v>
      </c>
      <c r="E104" s="16"/>
      <c r="F104" s="14"/>
      <c r="G104" s="14">
        <v>725000</v>
      </c>
      <c r="H104" s="14">
        <f t="shared" si="18"/>
        <v>855000</v>
      </c>
      <c r="I104" s="20">
        <v>825</v>
      </c>
      <c r="M104" s="22">
        <f t="shared" si="14"/>
        <v>104800</v>
      </c>
      <c r="N104" s="25">
        <f t="shared" si="15"/>
        <v>620200</v>
      </c>
      <c r="O104" s="25">
        <f t="shared" si="16"/>
        <v>396000</v>
      </c>
      <c r="P104" s="31">
        <f t="shared" si="17"/>
        <v>74250</v>
      </c>
      <c r="Q104" s="22">
        <v>149950</v>
      </c>
    </row>
    <row r="105" spans="1:17" x14ac:dyDescent="0.25">
      <c r="A105" s="3" t="s">
        <v>180</v>
      </c>
      <c r="B105" s="13" t="s">
        <v>11</v>
      </c>
      <c r="C105" s="13" t="s">
        <v>31</v>
      </c>
      <c r="D105" s="14"/>
      <c r="E105" s="16">
        <v>31.815000000000001</v>
      </c>
      <c r="F105" s="14"/>
      <c r="G105" s="14">
        <v>395000</v>
      </c>
      <c r="H105" s="14">
        <f t="shared" si="18"/>
        <v>-395000</v>
      </c>
      <c r="I105" s="20">
        <v>555</v>
      </c>
      <c r="M105" s="22">
        <f t="shared" si="14"/>
        <v>-7900</v>
      </c>
      <c r="N105" s="25">
        <f t="shared" si="15"/>
        <v>402900</v>
      </c>
      <c r="O105" s="25">
        <f t="shared" si="16"/>
        <v>266400</v>
      </c>
      <c r="P105" s="31">
        <f t="shared" si="17"/>
        <v>49950</v>
      </c>
      <c r="Q105" s="22">
        <f>+Q106-12550</f>
        <v>86550</v>
      </c>
    </row>
    <row r="106" spans="1:17" x14ac:dyDescent="0.25">
      <c r="A106" s="3" t="s">
        <v>181</v>
      </c>
      <c r="B106" s="13" t="s">
        <v>11</v>
      </c>
      <c r="C106" s="13" t="s">
        <v>8</v>
      </c>
      <c r="D106" s="14"/>
      <c r="E106" s="16">
        <v>36.447000000000003</v>
      </c>
      <c r="F106" s="14"/>
      <c r="G106" s="14">
        <v>504970</v>
      </c>
      <c r="H106" s="14">
        <f t="shared" ref="H106" si="21">+D106-F106-G106</f>
        <v>-504970</v>
      </c>
      <c r="I106" s="20">
        <v>713</v>
      </c>
      <c r="M106" s="22">
        <f t="shared" si="14"/>
        <v>-540</v>
      </c>
      <c r="N106" s="25">
        <f t="shared" si="15"/>
        <v>505510</v>
      </c>
      <c r="O106" s="25">
        <f t="shared" si="16"/>
        <v>342240</v>
      </c>
      <c r="P106" s="31">
        <f t="shared" si="17"/>
        <v>64170</v>
      </c>
      <c r="Q106" s="22">
        <v>99100</v>
      </c>
    </row>
    <row r="107" spans="1:17" x14ac:dyDescent="0.25">
      <c r="A107" s="3" t="s">
        <v>182</v>
      </c>
      <c r="B107" s="13" t="s">
        <v>67</v>
      </c>
      <c r="C107" s="13" t="s">
        <v>8</v>
      </c>
      <c r="D107" s="14"/>
      <c r="E107" s="16">
        <v>26.681999999999999</v>
      </c>
      <c r="F107" s="14">
        <v>172920</v>
      </c>
      <c r="G107" s="14"/>
      <c r="H107" s="14">
        <f t="shared" si="18"/>
        <v>-172920</v>
      </c>
      <c r="I107" s="20">
        <v>390</v>
      </c>
      <c r="M107" s="22">
        <f t="shared" si="14"/>
        <v>-103130</v>
      </c>
      <c r="N107" s="25">
        <f t="shared" si="15"/>
        <v>276050</v>
      </c>
      <c r="O107" s="25">
        <f t="shared" si="16"/>
        <v>187200</v>
      </c>
      <c r="P107" s="31">
        <f t="shared" si="17"/>
        <v>35100</v>
      </c>
      <c r="Q107" s="22">
        <v>53750</v>
      </c>
    </row>
    <row r="108" spans="1:17" x14ac:dyDescent="0.25">
      <c r="A108" s="3" t="s">
        <v>182</v>
      </c>
      <c r="B108" s="13" t="s">
        <v>67</v>
      </c>
      <c r="C108" s="13" t="s">
        <v>12</v>
      </c>
      <c r="D108" s="14"/>
      <c r="E108" s="16">
        <v>36.857999999999997</v>
      </c>
      <c r="F108" s="14"/>
      <c r="G108" s="14">
        <v>510050</v>
      </c>
      <c r="H108" s="14">
        <f t="shared" si="18"/>
        <v>-510050</v>
      </c>
      <c r="I108" s="20">
        <v>706</v>
      </c>
      <c r="M108" s="22">
        <f t="shared" si="14"/>
        <v>-10270</v>
      </c>
      <c r="N108" s="25">
        <f t="shared" si="15"/>
        <v>520320</v>
      </c>
      <c r="O108" s="25">
        <f t="shared" si="16"/>
        <v>338880</v>
      </c>
      <c r="P108" s="31">
        <f t="shared" si="17"/>
        <v>63540</v>
      </c>
      <c r="Q108" s="22">
        <v>117900</v>
      </c>
    </row>
    <row r="109" spans="1:17" x14ac:dyDescent="0.25">
      <c r="A109" s="3" t="s">
        <v>182</v>
      </c>
      <c r="B109" s="13" t="s">
        <v>67</v>
      </c>
      <c r="C109" s="13" t="s">
        <v>6</v>
      </c>
      <c r="D109" s="14"/>
      <c r="E109" s="16">
        <v>20</v>
      </c>
      <c r="F109" s="14"/>
      <c r="G109" s="14">
        <v>199525</v>
      </c>
      <c r="H109" s="14">
        <f t="shared" si="18"/>
        <v>-199525</v>
      </c>
      <c r="I109" s="20">
        <v>287</v>
      </c>
      <c r="M109" s="22">
        <f t="shared" si="14"/>
        <v>-20065</v>
      </c>
      <c r="N109" s="25">
        <f t="shared" si="15"/>
        <v>219590</v>
      </c>
      <c r="O109" s="25">
        <f t="shared" si="16"/>
        <v>137760</v>
      </c>
      <c r="P109" s="31">
        <f t="shared" si="17"/>
        <v>25830</v>
      </c>
      <c r="Q109" s="22">
        <v>56000</v>
      </c>
    </row>
    <row r="110" spans="1:17" x14ac:dyDescent="0.25">
      <c r="A110" s="3" t="s">
        <v>182</v>
      </c>
      <c r="B110" s="13" t="s">
        <v>12</v>
      </c>
      <c r="C110" s="13" t="s">
        <v>6</v>
      </c>
      <c r="D110" s="14"/>
      <c r="E110" s="16">
        <v>49</v>
      </c>
      <c r="F110" s="14"/>
      <c r="G110" s="14">
        <v>496960</v>
      </c>
      <c r="H110" s="14">
        <f t="shared" ref="H110" si="22">+D110-F110-G110</f>
        <v>-496960</v>
      </c>
      <c r="I110" s="20">
        <v>560</v>
      </c>
      <c r="M110" s="22">
        <f t="shared" si="14"/>
        <v>92060</v>
      </c>
      <c r="N110" s="25">
        <f t="shared" si="15"/>
        <v>404900</v>
      </c>
      <c r="O110" s="25">
        <f t="shared" si="16"/>
        <v>268800</v>
      </c>
      <c r="P110" s="31">
        <f t="shared" si="17"/>
        <v>50400</v>
      </c>
      <c r="Q110" s="22">
        <v>85700</v>
      </c>
    </row>
    <row r="111" spans="1:17" x14ac:dyDescent="0.25">
      <c r="A111" s="3" t="s">
        <v>183</v>
      </c>
      <c r="B111" s="13" t="s">
        <v>12</v>
      </c>
      <c r="C111" s="13" t="s">
        <v>31</v>
      </c>
      <c r="D111" s="14">
        <v>1595000</v>
      </c>
      <c r="E111" s="16"/>
      <c r="F111" s="14"/>
      <c r="G111" s="14">
        <v>747102</v>
      </c>
      <c r="H111" s="14">
        <f t="shared" si="18"/>
        <v>847898</v>
      </c>
      <c r="I111" s="20">
        <v>922</v>
      </c>
      <c r="M111" s="22">
        <f t="shared" si="14"/>
        <v>79462</v>
      </c>
      <c r="N111" s="25">
        <f t="shared" si="15"/>
        <v>667640</v>
      </c>
      <c r="O111" s="25">
        <f t="shared" si="16"/>
        <v>442560</v>
      </c>
      <c r="P111" s="31">
        <f t="shared" si="17"/>
        <v>82980</v>
      </c>
      <c r="Q111" s="22">
        <v>142100</v>
      </c>
    </row>
    <row r="112" spans="1:17" x14ac:dyDescent="0.25">
      <c r="A112" s="3" t="s">
        <v>183</v>
      </c>
      <c r="B112" s="13" t="s">
        <v>12</v>
      </c>
      <c r="C112" s="13" t="s">
        <v>258</v>
      </c>
      <c r="D112" s="14">
        <v>450000</v>
      </c>
      <c r="E112" s="16"/>
      <c r="F112" s="14"/>
      <c r="G112" s="14">
        <f>+I112*800</f>
        <v>217600</v>
      </c>
      <c r="H112" s="14">
        <f t="shared" si="18"/>
        <v>232400</v>
      </c>
      <c r="I112" s="20">
        <f>136*2</f>
        <v>272</v>
      </c>
      <c r="M112" s="22">
        <f t="shared" si="14"/>
        <v>27460</v>
      </c>
      <c r="N112" s="25">
        <f t="shared" si="15"/>
        <v>190140</v>
      </c>
      <c r="O112" s="25">
        <f t="shared" si="16"/>
        <v>130560</v>
      </c>
      <c r="P112" s="31">
        <f t="shared" si="17"/>
        <v>24480</v>
      </c>
      <c r="Q112" s="22">
        <v>35100</v>
      </c>
    </row>
    <row r="113" spans="1:17" x14ac:dyDescent="0.25">
      <c r="A113" s="3" t="s">
        <v>185</v>
      </c>
      <c r="B113" s="13" t="s">
        <v>198</v>
      </c>
      <c r="C113" s="13" t="s">
        <v>215</v>
      </c>
      <c r="D113" s="14">
        <v>340000</v>
      </c>
      <c r="E113" s="16"/>
      <c r="F113" s="14">
        <v>84190</v>
      </c>
      <c r="G113" s="14"/>
      <c r="H113" s="14">
        <f t="shared" si="18"/>
        <v>255810</v>
      </c>
      <c r="I113" s="20">
        <v>90</v>
      </c>
      <c r="M113" s="22">
        <f t="shared" si="14"/>
        <v>5590</v>
      </c>
      <c r="N113" s="25">
        <f t="shared" si="15"/>
        <v>78600</v>
      </c>
      <c r="O113" s="25">
        <f t="shared" si="16"/>
        <v>43200</v>
      </c>
      <c r="P113" s="31">
        <f t="shared" si="17"/>
        <v>8100</v>
      </c>
      <c r="Q113" s="22">
        <v>27300</v>
      </c>
    </row>
    <row r="114" spans="1:17" x14ac:dyDescent="0.25">
      <c r="A114" s="3" t="s">
        <v>186</v>
      </c>
      <c r="B114" s="13" t="s">
        <v>194</v>
      </c>
      <c r="C114" s="13" t="s">
        <v>215</v>
      </c>
      <c r="D114" s="14">
        <v>290000</v>
      </c>
      <c r="E114" s="16"/>
      <c r="F114" s="14">
        <v>63457.5</v>
      </c>
      <c r="G114" s="14"/>
      <c r="H114" s="14">
        <f t="shared" ref="H114:H121" si="23">+D114-F114-G114</f>
        <v>226542.5</v>
      </c>
      <c r="I114" s="20">
        <v>50</v>
      </c>
      <c r="M114" s="22">
        <f t="shared" si="14"/>
        <v>6057.5</v>
      </c>
      <c r="N114" s="25">
        <f t="shared" si="15"/>
        <v>57400</v>
      </c>
      <c r="O114" s="25">
        <f t="shared" si="16"/>
        <v>24000</v>
      </c>
      <c r="P114" s="31">
        <f t="shared" si="17"/>
        <v>4500</v>
      </c>
      <c r="Q114" s="22">
        <v>28900</v>
      </c>
    </row>
    <row r="115" spans="1:17" x14ac:dyDescent="0.25">
      <c r="A115" s="3" t="s">
        <v>187</v>
      </c>
      <c r="B115" s="13" t="s">
        <v>199</v>
      </c>
      <c r="C115" s="13" t="s">
        <v>200</v>
      </c>
      <c r="D115" s="14">
        <v>290000</v>
      </c>
      <c r="E115" s="16"/>
      <c r="F115" s="14">
        <v>40501</v>
      </c>
      <c r="G115" s="14"/>
      <c r="H115" s="14">
        <f t="shared" si="23"/>
        <v>249499</v>
      </c>
      <c r="I115" s="20">
        <v>40</v>
      </c>
      <c r="M115" s="22">
        <f t="shared" si="14"/>
        <v>1001</v>
      </c>
      <c r="N115" s="25">
        <f t="shared" si="15"/>
        <v>39500</v>
      </c>
      <c r="O115" s="25">
        <f t="shared" si="16"/>
        <v>19200</v>
      </c>
      <c r="P115" s="31">
        <f t="shared" si="17"/>
        <v>3600</v>
      </c>
      <c r="Q115" s="22">
        <v>16700</v>
      </c>
    </row>
    <row r="116" spans="1:17" x14ac:dyDescent="0.25">
      <c r="A116" s="3" t="s">
        <v>187</v>
      </c>
      <c r="B116" s="13" t="s">
        <v>199</v>
      </c>
      <c r="C116" s="13" t="s">
        <v>201</v>
      </c>
      <c r="D116" s="14">
        <v>347480</v>
      </c>
      <c r="E116" s="16"/>
      <c r="F116" s="14">
        <v>84190</v>
      </c>
      <c r="G116" s="14"/>
      <c r="H116" s="14">
        <f t="shared" si="23"/>
        <v>263290</v>
      </c>
      <c r="I116" s="20">
        <v>90</v>
      </c>
      <c r="M116" s="22">
        <f t="shared" si="14"/>
        <v>5590</v>
      </c>
      <c r="N116" s="25">
        <f t="shared" si="15"/>
        <v>78600</v>
      </c>
      <c r="O116" s="25">
        <f t="shared" si="16"/>
        <v>43200</v>
      </c>
      <c r="P116" s="31">
        <f t="shared" si="17"/>
        <v>8100</v>
      </c>
      <c r="Q116" s="22">
        <v>27300</v>
      </c>
    </row>
    <row r="117" spans="1:17" x14ac:dyDescent="0.25">
      <c r="A117" s="3" t="s">
        <v>187</v>
      </c>
      <c r="B117" s="13" t="s">
        <v>199</v>
      </c>
      <c r="C117" s="13" t="s">
        <v>202</v>
      </c>
      <c r="D117" s="14">
        <v>608090</v>
      </c>
      <c r="E117" s="16"/>
      <c r="F117" s="14">
        <v>235980</v>
      </c>
      <c r="G117" s="14"/>
      <c r="H117" s="14">
        <f t="shared" si="23"/>
        <v>372110</v>
      </c>
      <c r="I117" s="20">
        <v>280</v>
      </c>
      <c r="M117" s="22">
        <f t="shared" si="14"/>
        <v>21480</v>
      </c>
      <c r="N117" s="25">
        <f t="shared" si="15"/>
        <v>214500</v>
      </c>
      <c r="O117" s="25">
        <f t="shared" si="16"/>
        <v>134400</v>
      </c>
      <c r="P117" s="31">
        <f t="shared" si="17"/>
        <v>25200</v>
      </c>
      <c r="Q117" s="22">
        <v>54900</v>
      </c>
    </row>
    <row r="118" spans="1:17" x14ac:dyDescent="0.25">
      <c r="A118" s="3" t="s">
        <v>187</v>
      </c>
      <c r="B118" s="13" t="s">
        <v>199</v>
      </c>
      <c r="C118" s="13" t="s">
        <v>29</v>
      </c>
      <c r="D118" s="14">
        <v>955570</v>
      </c>
      <c r="E118" s="16"/>
      <c r="F118" s="14"/>
      <c r="G118" s="14">
        <v>389130</v>
      </c>
      <c r="H118" s="14">
        <f t="shared" si="23"/>
        <v>566440</v>
      </c>
      <c r="I118" s="20">
        <v>430</v>
      </c>
      <c r="M118" s="22">
        <f t="shared" si="14"/>
        <v>69130</v>
      </c>
      <c r="N118" s="25">
        <f t="shared" si="15"/>
        <v>320000</v>
      </c>
      <c r="O118" s="25">
        <f t="shared" si="16"/>
        <v>206400</v>
      </c>
      <c r="P118" s="31">
        <f t="shared" si="17"/>
        <v>38700</v>
      </c>
      <c r="Q118" s="22">
        <v>74900</v>
      </c>
    </row>
    <row r="119" spans="1:17" x14ac:dyDescent="0.25">
      <c r="A119" s="3" t="s">
        <v>188</v>
      </c>
      <c r="B119" s="13" t="s">
        <v>198</v>
      </c>
      <c r="C119" s="13" t="s">
        <v>6</v>
      </c>
      <c r="D119" s="14">
        <v>1669145</v>
      </c>
      <c r="E119" s="16"/>
      <c r="F119" s="14"/>
      <c r="G119" s="14">
        <v>496960</v>
      </c>
      <c r="H119" s="14">
        <f t="shared" si="23"/>
        <v>1172185</v>
      </c>
      <c r="I119" s="20">
        <v>560</v>
      </c>
      <c r="M119" s="22">
        <f t="shared" si="14"/>
        <v>92060</v>
      </c>
      <c r="N119" s="25">
        <f t="shared" si="15"/>
        <v>404900</v>
      </c>
      <c r="O119" s="25">
        <f t="shared" si="16"/>
        <v>268800</v>
      </c>
      <c r="P119" s="31">
        <f t="shared" si="17"/>
        <v>50400</v>
      </c>
      <c r="Q119" s="22">
        <v>85700</v>
      </c>
    </row>
    <row r="120" spans="1:17" x14ac:dyDescent="0.25">
      <c r="A120" s="3" t="s">
        <v>189</v>
      </c>
      <c r="B120" s="13" t="s">
        <v>197</v>
      </c>
      <c r="C120" s="13" t="s">
        <v>6</v>
      </c>
      <c r="D120" s="14">
        <v>173730</v>
      </c>
      <c r="E120" s="16"/>
      <c r="F120" s="14">
        <v>35770</v>
      </c>
      <c r="G120" s="14"/>
      <c r="H120" s="14">
        <f t="shared" si="23"/>
        <v>137960</v>
      </c>
      <c r="I120" s="20">
        <v>20</v>
      </c>
      <c r="M120" s="22">
        <f t="shared" si="14"/>
        <v>13570</v>
      </c>
      <c r="N120" s="25">
        <f t="shared" si="15"/>
        <v>22200</v>
      </c>
      <c r="O120" s="25">
        <f t="shared" si="16"/>
        <v>9600</v>
      </c>
      <c r="P120" s="31">
        <f t="shared" si="17"/>
        <v>1800</v>
      </c>
      <c r="Q120" s="22">
        <v>10800</v>
      </c>
    </row>
    <row r="121" spans="1:17" x14ac:dyDescent="0.25">
      <c r="A121" s="3" t="s">
        <v>189</v>
      </c>
      <c r="B121" s="13" t="s">
        <v>197</v>
      </c>
      <c r="C121" s="13" t="s">
        <v>8</v>
      </c>
      <c r="D121" s="14">
        <v>1365100</v>
      </c>
      <c r="E121" s="16"/>
      <c r="F121" s="14"/>
      <c r="G121" s="14">
        <v>504970</v>
      </c>
      <c r="H121" s="14">
        <f t="shared" si="23"/>
        <v>860130</v>
      </c>
      <c r="I121" s="20">
        <v>670</v>
      </c>
      <c r="M121" s="22">
        <f t="shared" si="14"/>
        <v>23970</v>
      </c>
      <c r="N121" s="25">
        <f t="shared" si="15"/>
        <v>481000</v>
      </c>
      <c r="O121" s="25">
        <f t="shared" si="16"/>
        <v>321600</v>
      </c>
      <c r="P121" s="31">
        <f t="shared" si="17"/>
        <v>60300</v>
      </c>
      <c r="Q121" s="22">
        <v>99100</v>
      </c>
    </row>
    <row r="122" spans="1:17" x14ac:dyDescent="0.25">
      <c r="A122" s="3" t="s">
        <v>190</v>
      </c>
      <c r="B122" s="13" t="s">
        <v>196</v>
      </c>
      <c r="C122" s="13" t="s">
        <v>203</v>
      </c>
      <c r="D122" s="14">
        <v>338793</v>
      </c>
      <c r="E122" s="16"/>
      <c r="F122" s="14">
        <v>40501</v>
      </c>
      <c r="G122" s="14"/>
      <c r="H122" s="14">
        <f t="shared" ref="H122:H126" si="24">+D122-F122-G122</f>
        <v>298292</v>
      </c>
      <c r="I122" s="20">
        <v>40</v>
      </c>
      <c r="M122" s="22">
        <f t="shared" si="14"/>
        <v>1001</v>
      </c>
      <c r="N122" s="25">
        <f t="shared" si="15"/>
        <v>39500</v>
      </c>
      <c r="O122" s="25">
        <f t="shared" si="16"/>
        <v>19200</v>
      </c>
      <c r="P122" s="31">
        <f t="shared" si="17"/>
        <v>3600</v>
      </c>
      <c r="Q122" s="22">
        <v>16700</v>
      </c>
    </row>
    <row r="123" spans="1:17" x14ac:dyDescent="0.25">
      <c r="A123" s="3" t="s">
        <v>191</v>
      </c>
      <c r="B123" s="13" t="s">
        <v>199</v>
      </c>
      <c r="C123" s="13" t="s">
        <v>204</v>
      </c>
      <c r="D123" s="14">
        <v>335070</v>
      </c>
      <c r="E123" s="16"/>
      <c r="F123" s="14">
        <v>40501</v>
      </c>
      <c r="G123" s="14"/>
      <c r="H123" s="14">
        <f t="shared" si="24"/>
        <v>294569</v>
      </c>
      <c r="I123" s="20">
        <v>40</v>
      </c>
      <c r="M123" s="22">
        <f t="shared" si="14"/>
        <v>1001</v>
      </c>
      <c r="N123" s="25">
        <f t="shared" si="15"/>
        <v>39500</v>
      </c>
      <c r="O123" s="25">
        <f t="shared" si="16"/>
        <v>19200</v>
      </c>
      <c r="P123" s="31">
        <f t="shared" si="17"/>
        <v>3600</v>
      </c>
      <c r="Q123" s="22">
        <v>16700</v>
      </c>
    </row>
    <row r="124" spans="1:17" x14ac:dyDescent="0.25">
      <c r="A124" s="3" t="s">
        <v>192</v>
      </c>
      <c r="B124" s="13" t="s">
        <v>195</v>
      </c>
      <c r="C124" s="13" t="s">
        <v>205</v>
      </c>
      <c r="D124" s="14">
        <v>452375</v>
      </c>
      <c r="E124" s="16"/>
      <c r="F124" s="14"/>
      <c r="G124" s="14">
        <v>184258</v>
      </c>
      <c r="H124" s="14">
        <f>+D123-F123-G124</f>
        <v>110311</v>
      </c>
      <c r="I124" s="20">
        <v>216</v>
      </c>
      <c r="M124" s="22">
        <f t="shared" si="14"/>
        <v>28138</v>
      </c>
      <c r="N124" s="25">
        <f t="shared" si="15"/>
        <v>156120</v>
      </c>
      <c r="O124" s="25">
        <f t="shared" si="16"/>
        <v>103680</v>
      </c>
      <c r="P124" s="31">
        <f t="shared" si="17"/>
        <v>19440</v>
      </c>
      <c r="Q124" s="22">
        <v>33000</v>
      </c>
    </row>
    <row r="125" spans="1:17" x14ac:dyDescent="0.25">
      <c r="A125" s="3" t="s">
        <v>192</v>
      </c>
      <c r="B125" s="13" t="s">
        <v>195</v>
      </c>
      <c r="C125" s="13" t="s">
        <v>243</v>
      </c>
      <c r="D125" s="14">
        <v>448000</v>
      </c>
      <c r="E125" s="16"/>
      <c r="F125" s="14"/>
      <c r="G125" s="14">
        <v>200160</v>
      </c>
      <c r="H125" s="14">
        <f t="shared" ref="H125" si="25">+D125-F125-G125</f>
        <v>247840</v>
      </c>
      <c r="I125" s="20">
        <v>272</v>
      </c>
      <c r="M125" s="22">
        <f t="shared" si="14"/>
        <v>12120</v>
      </c>
      <c r="N125" s="25">
        <f t="shared" si="15"/>
        <v>188040</v>
      </c>
      <c r="O125" s="25">
        <f t="shared" si="16"/>
        <v>130560</v>
      </c>
      <c r="P125" s="31">
        <f t="shared" si="17"/>
        <v>24480</v>
      </c>
      <c r="Q125" s="22">
        <v>33000</v>
      </c>
    </row>
    <row r="126" spans="1:17" x14ac:dyDescent="0.25">
      <c r="A126" s="3" t="s">
        <v>192</v>
      </c>
      <c r="B126" s="13" t="s">
        <v>195</v>
      </c>
      <c r="C126" s="13" t="s">
        <v>206</v>
      </c>
      <c r="D126" s="14">
        <v>634500</v>
      </c>
      <c r="E126" s="16"/>
      <c r="F126" s="14"/>
      <c r="G126" s="14">
        <v>280999</v>
      </c>
      <c r="H126" s="14">
        <f t="shared" si="24"/>
        <v>353501</v>
      </c>
      <c r="I126" s="20">
        <v>356</v>
      </c>
      <c r="M126" s="22">
        <f t="shared" si="14"/>
        <v>13279</v>
      </c>
      <c r="N126" s="25">
        <f t="shared" si="15"/>
        <v>267720</v>
      </c>
      <c r="O126" s="25">
        <f t="shared" si="16"/>
        <v>170880</v>
      </c>
      <c r="P126" s="31">
        <f t="shared" si="17"/>
        <v>32040</v>
      </c>
      <c r="Q126" s="22">
        <v>64800</v>
      </c>
    </row>
    <row r="127" spans="1:17" x14ac:dyDescent="0.25">
      <c r="A127" s="3" t="s">
        <v>192</v>
      </c>
      <c r="B127" s="13" t="s">
        <v>195</v>
      </c>
      <c r="C127" s="13" t="s">
        <v>207</v>
      </c>
      <c r="D127" s="14">
        <v>346625</v>
      </c>
      <c r="E127" s="16"/>
      <c r="F127" s="14"/>
      <c r="G127" s="14">
        <v>184258</v>
      </c>
      <c r="H127" s="14">
        <f>+D124-F124-G127</f>
        <v>268117</v>
      </c>
      <c r="I127" s="20">
        <v>193</v>
      </c>
      <c r="M127" s="22">
        <f t="shared" si="14"/>
        <v>41248</v>
      </c>
      <c r="N127" s="25">
        <f t="shared" si="15"/>
        <v>143010</v>
      </c>
      <c r="O127" s="25">
        <f t="shared" si="16"/>
        <v>92640</v>
      </c>
      <c r="P127" s="31">
        <f t="shared" si="17"/>
        <v>17370</v>
      </c>
      <c r="Q127" s="22">
        <v>33000</v>
      </c>
    </row>
    <row r="128" spans="1:17" x14ac:dyDescent="0.25">
      <c r="A128" s="3" t="s">
        <v>192</v>
      </c>
      <c r="B128" s="13" t="s">
        <v>195</v>
      </c>
      <c r="C128" s="13" t="s">
        <v>208</v>
      </c>
      <c r="D128" s="14">
        <v>564000</v>
      </c>
      <c r="E128" s="16"/>
      <c r="F128" s="14"/>
      <c r="G128" s="14">
        <v>253255</v>
      </c>
      <c r="H128" s="14">
        <f t="shared" ref="H128" si="26">+D128-F128-G128</f>
        <v>310745</v>
      </c>
      <c r="I128" s="20">
        <v>362</v>
      </c>
      <c r="M128" s="22">
        <f t="shared" si="14"/>
        <v>1715</v>
      </c>
      <c r="N128" s="25">
        <f t="shared" si="15"/>
        <v>251540</v>
      </c>
      <c r="O128" s="25">
        <f t="shared" si="16"/>
        <v>173760</v>
      </c>
      <c r="P128" s="31">
        <f t="shared" si="17"/>
        <v>32580</v>
      </c>
      <c r="Q128" s="22">
        <v>45200</v>
      </c>
    </row>
    <row r="129" spans="1:17" x14ac:dyDescent="0.25">
      <c r="A129" s="3" t="s">
        <v>192</v>
      </c>
      <c r="B129" s="13" t="s">
        <v>195</v>
      </c>
      <c r="C129" s="13" t="s">
        <v>209</v>
      </c>
      <c r="D129" s="14">
        <v>528750</v>
      </c>
      <c r="E129" s="16"/>
      <c r="F129" s="14"/>
      <c r="G129" s="14">
        <v>253255</v>
      </c>
      <c r="H129" s="14">
        <f t="shared" ref="H129:H135" si="27">+D129-F129-G129</f>
        <v>275495</v>
      </c>
      <c r="I129" s="20">
        <v>290</v>
      </c>
      <c r="M129" s="22">
        <f t="shared" si="14"/>
        <v>42755</v>
      </c>
      <c r="N129" s="25">
        <f t="shared" si="15"/>
        <v>210500</v>
      </c>
      <c r="O129" s="25">
        <f t="shared" si="16"/>
        <v>139200</v>
      </c>
      <c r="P129" s="31">
        <f t="shared" si="17"/>
        <v>26100</v>
      </c>
      <c r="Q129" s="22">
        <v>45200</v>
      </c>
    </row>
    <row r="130" spans="1:17" x14ac:dyDescent="0.25">
      <c r="A130" s="3" t="s">
        <v>192</v>
      </c>
      <c r="B130" s="13" t="s">
        <v>195</v>
      </c>
      <c r="C130" s="13" t="s">
        <v>210</v>
      </c>
      <c r="D130" s="14">
        <v>528750</v>
      </c>
      <c r="E130" s="16"/>
      <c r="F130" s="14"/>
      <c r="G130" s="14">
        <v>253255</v>
      </c>
      <c r="H130" s="14">
        <f t="shared" si="27"/>
        <v>275495</v>
      </c>
      <c r="I130" s="20">
        <v>290</v>
      </c>
      <c r="M130" s="22">
        <f t="shared" si="14"/>
        <v>42755</v>
      </c>
      <c r="N130" s="25">
        <f t="shared" si="15"/>
        <v>210500</v>
      </c>
      <c r="O130" s="25">
        <f t="shared" si="16"/>
        <v>139200</v>
      </c>
      <c r="P130" s="31">
        <f t="shared" si="17"/>
        <v>26100</v>
      </c>
      <c r="Q130" s="22">
        <v>45200</v>
      </c>
    </row>
    <row r="131" spans="1:17" x14ac:dyDescent="0.25">
      <c r="A131" s="3" t="s">
        <v>192</v>
      </c>
      <c r="B131" s="13" t="s">
        <v>195</v>
      </c>
      <c r="C131" s="13" t="s">
        <v>211</v>
      </c>
      <c r="D131" s="14">
        <v>534625</v>
      </c>
      <c r="E131" s="16"/>
      <c r="F131" s="14"/>
      <c r="G131" s="14">
        <v>280999</v>
      </c>
      <c r="H131" s="14">
        <f t="shared" si="27"/>
        <v>253626</v>
      </c>
      <c r="I131" s="20">
        <v>356</v>
      </c>
      <c r="M131" s="22">
        <f t="shared" si="14"/>
        <v>23179</v>
      </c>
      <c r="N131" s="25">
        <f t="shared" si="15"/>
        <v>257820</v>
      </c>
      <c r="O131" s="25">
        <f t="shared" si="16"/>
        <v>170880</v>
      </c>
      <c r="P131" s="31">
        <f t="shared" si="17"/>
        <v>32040</v>
      </c>
      <c r="Q131" s="22">
        <v>54900</v>
      </c>
    </row>
    <row r="132" spans="1:17" x14ac:dyDescent="0.25">
      <c r="A132" s="3" t="s">
        <v>192</v>
      </c>
      <c r="B132" s="13" t="s">
        <v>195</v>
      </c>
      <c r="C132" s="13" t="s">
        <v>212</v>
      </c>
      <c r="D132" s="14">
        <v>540500</v>
      </c>
      <c r="E132" s="16"/>
      <c r="F132" s="14"/>
      <c r="G132" s="14">
        <v>257511</v>
      </c>
      <c r="H132" s="14">
        <f t="shared" si="27"/>
        <v>282989</v>
      </c>
      <c r="I132" s="20">
        <v>322</v>
      </c>
      <c r="M132" s="22">
        <f t="shared" si="14"/>
        <v>28771</v>
      </c>
      <c r="N132" s="25">
        <f t="shared" si="15"/>
        <v>228740</v>
      </c>
      <c r="O132" s="25">
        <f t="shared" si="16"/>
        <v>154560</v>
      </c>
      <c r="P132" s="31">
        <f t="shared" si="17"/>
        <v>28980</v>
      </c>
      <c r="Q132" s="22">
        <v>45200</v>
      </c>
    </row>
    <row r="133" spans="1:17" x14ac:dyDescent="0.25">
      <c r="A133" s="3" t="s">
        <v>192</v>
      </c>
      <c r="B133" s="13" t="s">
        <v>195</v>
      </c>
      <c r="C133" s="13" t="s">
        <v>213</v>
      </c>
      <c r="D133" s="14">
        <v>493500</v>
      </c>
      <c r="E133" s="16"/>
      <c r="F133" s="14"/>
      <c r="G133" s="14">
        <v>253255</v>
      </c>
      <c r="H133" s="14">
        <f t="shared" si="27"/>
        <v>240245</v>
      </c>
      <c r="I133" s="20">
        <v>290</v>
      </c>
      <c r="M133" s="22">
        <f t="shared" si="14"/>
        <v>42755</v>
      </c>
      <c r="N133" s="25">
        <f t="shared" si="15"/>
        <v>210500</v>
      </c>
      <c r="O133" s="25">
        <f t="shared" si="16"/>
        <v>139200</v>
      </c>
      <c r="P133" s="31">
        <f t="shared" si="17"/>
        <v>26100</v>
      </c>
      <c r="Q133" s="22">
        <v>45200</v>
      </c>
    </row>
    <row r="134" spans="1:17" x14ac:dyDescent="0.25">
      <c r="A134" s="3" t="s">
        <v>192</v>
      </c>
      <c r="B134" s="13" t="s">
        <v>195</v>
      </c>
      <c r="C134" s="13" t="s">
        <v>247</v>
      </c>
      <c r="D134" s="14">
        <v>293750</v>
      </c>
      <c r="E134" s="16"/>
      <c r="F134" s="14">
        <f>+I134*800</f>
        <v>62400</v>
      </c>
      <c r="G134" s="14"/>
      <c r="H134" s="14">
        <f t="shared" si="27"/>
        <v>231350</v>
      </c>
      <c r="I134" s="20">
        <v>78</v>
      </c>
      <c r="M134" s="22">
        <f t="shared" si="14"/>
        <v>-3260</v>
      </c>
      <c r="N134" s="25">
        <f t="shared" si="15"/>
        <v>65660</v>
      </c>
      <c r="O134" s="25">
        <f t="shared" si="16"/>
        <v>37440</v>
      </c>
      <c r="P134" s="31">
        <f t="shared" si="17"/>
        <v>7020</v>
      </c>
      <c r="Q134" s="22">
        <v>21200</v>
      </c>
    </row>
    <row r="135" spans="1:17" x14ac:dyDescent="0.25">
      <c r="A135" s="3" t="s">
        <v>192</v>
      </c>
      <c r="B135" s="13" t="s">
        <v>195</v>
      </c>
      <c r="C135" s="13" t="s">
        <v>214</v>
      </c>
      <c r="D135" s="14">
        <v>470000</v>
      </c>
      <c r="E135" s="16"/>
      <c r="F135" s="14"/>
      <c r="G135" s="14">
        <v>257511</v>
      </c>
      <c r="H135" s="14">
        <f t="shared" si="27"/>
        <v>212489</v>
      </c>
      <c r="I135" s="20">
        <v>315</v>
      </c>
      <c r="M135" s="22">
        <f t="shared" ref="M135:M178" si="28">+F135+G135-N135</f>
        <v>32761</v>
      </c>
      <c r="N135" s="25">
        <f t="shared" ref="N135:N178" si="29">+SUM(O135:Q135)</f>
        <v>224750</v>
      </c>
      <c r="O135" s="25">
        <f t="shared" ref="O135:O176" si="30">+I135/$R$3*$S$3</f>
        <v>151200</v>
      </c>
      <c r="P135" s="31">
        <f t="shared" ref="P135:P176" si="31">+I135*$T$3</f>
        <v>28350</v>
      </c>
      <c r="Q135" s="22">
        <v>45200</v>
      </c>
    </row>
    <row r="136" spans="1:17" x14ac:dyDescent="0.25">
      <c r="A136" s="3" t="s">
        <v>192</v>
      </c>
      <c r="B136" s="13" t="s">
        <v>77</v>
      </c>
      <c r="C136" s="13" t="s">
        <v>216</v>
      </c>
      <c r="D136" s="14">
        <v>190400</v>
      </c>
      <c r="E136" s="16"/>
      <c r="F136" s="14">
        <v>38700.5</v>
      </c>
      <c r="G136" s="14"/>
      <c r="H136" s="14">
        <f t="shared" ref="H136:H138" si="32">+D136-F136-G136</f>
        <v>151699.5</v>
      </c>
      <c r="I136" s="20">
        <v>24</v>
      </c>
      <c r="M136" s="22">
        <f t="shared" si="28"/>
        <v>-3879.5</v>
      </c>
      <c r="N136" s="25">
        <f t="shared" si="29"/>
        <v>42580</v>
      </c>
      <c r="O136" s="25">
        <f t="shared" si="30"/>
        <v>11520</v>
      </c>
      <c r="P136" s="31">
        <f t="shared" si="31"/>
        <v>2160</v>
      </c>
      <c r="Q136" s="22">
        <v>28900</v>
      </c>
    </row>
    <row r="137" spans="1:17" x14ac:dyDescent="0.25">
      <c r="A137" s="3" t="s">
        <v>192</v>
      </c>
      <c r="B137" s="13" t="s">
        <v>77</v>
      </c>
      <c r="C137" s="13" t="s">
        <v>244</v>
      </c>
      <c r="D137" s="14">
        <v>920000</v>
      </c>
      <c r="E137" s="16"/>
      <c r="F137" s="14">
        <f>+I137*835</f>
        <v>377420</v>
      </c>
      <c r="G137" s="14"/>
      <c r="H137" s="14">
        <f t="shared" si="32"/>
        <v>542580</v>
      </c>
      <c r="I137" s="20">
        <v>452</v>
      </c>
      <c r="M137" s="22">
        <f t="shared" si="28"/>
        <v>36280</v>
      </c>
      <c r="N137" s="25">
        <f t="shared" si="29"/>
        <v>341140</v>
      </c>
      <c r="O137" s="25">
        <f t="shared" si="30"/>
        <v>216960</v>
      </c>
      <c r="P137" s="31">
        <f t="shared" si="31"/>
        <v>40680</v>
      </c>
      <c r="Q137" s="22">
        <v>83500</v>
      </c>
    </row>
    <row r="138" spans="1:17" x14ac:dyDescent="0.25">
      <c r="A138" s="3" t="s">
        <v>192</v>
      </c>
      <c r="B138" s="13" t="s">
        <v>77</v>
      </c>
      <c r="C138" s="13" t="s">
        <v>225</v>
      </c>
      <c r="D138" s="14">
        <v>257600</v>
      </c>
      <c r="E138" s="16"/>
      <c r="F138" s="14">
        <v>45492</v>
      </c>
      <c r="G138" s="14"/>
      <c r="H138" s="14">
        <f t="shared" si="32"/>
        <v>212108</v>
      </c>
      <c r="I138" s="20">
        <v>57</v>
      </c>
      <c r="M138" s="22">
        <f t="shared" si="28"/>
        <v>-15898</v>
      </c>
      <c r="N138" s="25">
        <f t="shared" si="29"/>
        <v>61390</v>
      </c>
      <c r="O138" s="25">
        <f t="shared" si="30"/>
        <v>27360</v>
      </c>
      <c r="P138" s="31">
        <f t="shared" si="31"/>
        <v>5130</v>
      </c>
      <c r="Q138" s="22">
        <v>28900</v>
      </c>
    </row>
    <row r="139" spans="1:17" x14ac:dyDescent="0.25">
      <c r="A139" s="3" t="s">
        <v>192</v>
      </c>
      <c r="B139" s="13" t="s">
        <v>77</v>
      </c>
      <c r="C139" s="13" t="s">
        <v>217</v>
      </c>
      <c r="D139" s="14">
        <v>188720</v>
      </c>
      <c r="E139" s="16"/>
      <c r="F139" s="14">
        <v>38700.5</v>
      </c>
      <c r="G139" s="14"/>
      <c r="H139" s="14">
        <f t="shared" ref="H139:H164" si="33">+D139-F139-G139</f>
        <v>150019.5</v>
      </c>
      <c r="I139" s="20">
        <v>24</v>
      </c>
      <c r="M139" s="22">
        <f t="shared" si="28"/>
        <v>-3879.5</v>
      </c>
      <c r="N139" s="25">
        <f t="shared" si="29"/>
        <v>42580</v>
      </c>
      <c r="O139" s="25">
        <f t="shared" si="30"/>
        <v>11520</v>
      </c>
      <c r="P139" s="31">
        <f t="shared" si="31"/>
        <v>2160</v>
      </c>
      <c r="Q139" s="22">
        <v>28900</v>
      </c>
    </row>
    <row r="140" spans="1:17" x14ac:dyDescent="0.25">
      <c r="A140" s="3" t="s">
        <v>192</v>
      </c>
      <c r="B140" s="13" t="s">
        <v>77</v>
      </c>
      <c r="C140" s="13" t="s">
        <v>224</v>
      </c>
      <c r="D140" s="14">
        <v>178080</v>
      </c>
      <c r="E140" s="16"/>
      <c r="F140" s="14">
        <v>25000</v>
      </c>
      <c r="G140" s="14"/>
      <c r="H140" s="14">
        <f t="shared" si="33"/>
        <v>153080</v>
      </c>
      <c r="I140" s="20">
        <v>12</v>
      </c>
      <c r="M140" s="22">
        <f t="shared" si="28"/>
        <v>-10740</v>
      </c>
      <c r="N140" s="25">
        <f t="shared" si="29"/>
        <v>35740</v>
      </c>
      <c r="O140" s="25">
        <f t="shared" si="30"/>
        <v>5760</v>
      </c>
      <c r="P140" s="31">
        <f t="shared" si="31"/>
        <v>1080</v>
      </c>
      <c r="Q140" s="22">
        <v>28900</v>
      </c>
    </row>
    <row r="141" spans="1:17" x14ac:dyDescent="0.25">
      <c r="A141" s="3" t="s">
        <v>192</v>
      </c>
      <c r="B141" s="13" t="s">
        <v>77</v>
      </c>
      <c r="C141" s="13" t="s">
        <v>200</v>
      </c>
      <c r="D141" s="14">
        <v>189840</v>
      </c>
      <c r="E141" s="16"/>
      <c r="F141" s="14">
        <v>38700.5</v>
      </c>
      <c r="G141" s="14"/>
      <c r="H141" s="14">
        <f t="shared" si="33"/>
        <v>151139.5</v>
      </c>
      <c r="I141" s="20">
        <v>24</v>
      </c>
      <c r="M141" s="22">
        <f t="shared" si="28"/>
        <v>-3879.5</v>
      </c>
      <c r="N141" s="25">
        <f t="shared" si="29"/>
        <v>42580</v>
      </c>
      <c r="O141" s="25">
        <f t="shared" si="30"/>
        <v>11520</v>
      </c>
      <c r="P141" s="31">
        <f t="shared" si="31"/>
        <v>2160</v>
      </c>
      <c r="Q141" s="22">
        <v>28900</v>
      </c>
    </row>
    <row r="142" spans="1:17" x14ac:dyDescent="0.25">
      <c r="A142" s="3" t="s">
        <v>192</v>
      </c>
      <c r="B142" s="13" t="s">
        <v>77</v>
      </c>
      <c r="C142" s="13" t="s">
        <v>218</v>
      </c>
      <c r="D142" s="14">
        <v>238560</v>
      </c>
      <c r="E142" s="16"/>
      <c r="F142" s="14">
        <v>45488</v>
      </c>
      <c r="G142" s="14"/>
      <c r="H142" s="14">
        <f t="shared" si="33"/>
        <v>193072</v>
      </c>
      <c r="I142" s="20">
        <v>57</v>
      </c>
      <c r="M142" s="22">
        <f t="shared" si="28"/>
        <v>-28102</v>
      </c>
      <c r="N142" s="25">
        <f t="shared" si="29"/>
        <v>73590</v>
      </c>
      <c r="O142" s="25">
        <f t="shared" si="30"/>
        <v>27360</v>
      </c>
      <c r="P142" s="31">
        <f t="shared" si="31"/>
        <v>5130</v>
      </c>
      <c r="Q142" s="22">
        <v>41100</v>
      </c>
    </row>
    <row r="143" spans="1:17" x14ac:dyDescent="0.25">
      <c r="A143" s="3" t="s">
        <v>192</v>
      </c>
      <c r="B143" s="13" t="s">
        <v>77</v>
      </c>
      <c r="C143" s="13" t="s">
        <v>228</v>
      </c>
      <c r="D143" s="14">
        <v>238560</v>
      </c>
      <c r="E143" s="16"/>
      <c r="F143" s="14">
        <v>84190</v>
      </c>
      <c r="G143" s="14"/>
      <c r="H143" s="14">
        <f t="shared" si="33"/>
        <v>154370</v>
      </c>
      <c r="I143" s="20">
        <v>58</v>
      </c>
      <c r="M143" s="22">
        <f t="shared" si="28"/>
        <v>5730</v>
      </c>
      <c r="N143" s="25">
        <f t="shared" si="29"/>
        <v>78460</v>
      </c>
      <c r="O143" s="25">
        <f t="shared" si="30"/>
        <v>27840</v>
      </c>
      <c r="P143" s="31">
        <f t="shared" si="31"/>
        <v>5220</v>
      </c>
      <c r="Q143" s="22">
        <f>28900+16500</f>
        <v>45400</v>
      </c>
    </row>
    <row r="144" spans="1:17" x14ac:dyDescent="0.25">
      <c r="A144" s="3" t="s">
        <v>192</v>
      </c>
      <c r="B144" s="13" t="s">
        <v>77</v>
      </c>
      <c r="C144" s="13" t="s">
        <v>229</v>
      </c>
      <c r="D144" s="14">
        <v>305760</v>
      </c>
      <c r="E144" s="16"/>
      <c r="F144" s="14">
        <v>69673</v>
      </c>
      <c r="G144" s="14"/>
      <c r="H144" s="14">
        <f>+D161-F144-G144</f>
        <v>237767</v>
      </c>
      <c r="I144" s="20">
        <v>92</v>
      </c>
      <c r="M144" s="22">
        <f t="shared" si="28"/>
        <v>-14567</v>
      </c>
      <c r="N144" s="25">
        <f t="shared" si="29"/>
        <v>84240</v>
      </c>
      <c r="O144" s="25">
        <f t="shared" si="30"/>
        <v>44160</v>
      </c>
      <c r="P144" s="31">
        <f t="shared" si="31"/>
        <v>8280</v>
      </c>
      <c r="Q144" s="22">
        <v>31800</v>
      </c>
    </row>
    <row r="145" spans="1:17" x14ac:dyDescent="0.25">
      <c r="A145" s="3" t="s">
        <v>192</v>
      </c>
      <c r="B145" s="13" t="s">
        <v>77</v>
      </c>
      <c r="C145" s="13" t="s">
        <v>230</v>
      </c>
      <c r="D145" s="14">
        <v>245280</v>
      </c>
      <c r="E145" s="16"/>
      <c r="F145" s="14">
        <v>84190</v>
      </c>
      <c r="G145" s="14"/>
      <c r="H145" s="14">
        <f>+D157-F145-G145</f>
        <v>173970</v>
      </c>
      <c r="I145" s="20">
        <v>59</v>
      </c>
      <c r="M145" s="22">
        <f t="shared" si="28"/>
        <v>21660</v>
      </c>
      <c r="N145" s="25">
        <f t="shared" si="29"/>
        <v>62530</v>
      </c>
      <c r="O145" s="25">
        <f t="shared" si="30"/>
        <v>28320</v>
      </c>
      <c r="P145" s="31">
        <f t="shared" si="31"/>
        <v>5310</v>
      </c>
      <c r="Q145" s="22">
        <v>28900</v>
      </c>
    </row>
    <row r="146" spans="1:17" x14ac:dyDescent="0.25">
      <c r="A146" s="3" t="s">
        <v>192</v>
      </c>
      <c r="B146" s="13" t="s">
        <v>77</v>
      </c>
      <c r="C146" s="13" t="s">
        <v>231</v>
      </c>
      <c r="D146" s="14">
        <v>245280</v>
      </c>
      <c r="E146" s="16"/>
      <c r="F146" s="14">
        <v>84190</v>
      </c>
      <c r="G146" s="14"/>
      <c r="H146" s="14">
        <f>+D158-F146-G146</f>
        <v>378930</v>
      </c>
      <c r="I146" s="20">
        <v>59</v>
      </c>
      <c r="M146" s="22">
        <f t="shared" si="28"/>
        <v>21660</v>
      </c>
      <c r="N146" s="25">
        <f t="shared" si="29"/>
        <v>62530</v>
      </c>
      <c r="O146" s="25">
        <f t="shared" si="30"/>
        <v>28320</v>
      </c>
      <c r="P146" s="31">
        <f t="shared" si="31"/>
        <v>5310</v>
      </c>
      <c r="Q146" s="22">
        <v>28900</v>
      </c>
    </row>
    <row r="147" spans="1:17" x14ac:dyDescent="0.25">
      <c r="A147" s="3" t="s">
        <v>192</v>
      </c>
      <c r="B147" s="13" t="s">
        <v>77</v>
      </c>
      <c r="C147" s="13" t="s">
        <v>195</v>
      </c>
      <c r="D147" s="14">
        <v>533120</v>
      </c>
      <c r="E147" s="16"/>
      <c r="F147" s="14"/>
      <c r="G147" s="14">
        <v>200160</v>
      </c>
      <c r="H147" s="14">
        <f t="shared" si="33"/>
        <v>332960</v>
      </c>
      <c r="I147" s="20">
        <v>272</v>
      </c>
      <c r="M147" s="22">
        <f t="shared" si="28"/>
        <v>4020</v>
      </c>
      <c r="N147" s="25">
        <f t="shared" si="29"/>
        <v>196140</v>
      </c>
      <c r="O147" s="25">
        <f t="shared" si="30"/>
        <v>130560</v>
      </c>
      <c r="P147" s="31">
        <f t="shared" si="31"/>
        <v>24480</v>
      </c>
      <c r="Q147" s="22">
        <v>41100</v>
      </c>
    </row>
    <row r="148" spans="1:17" x14ac:dyDescent="0.25">
      <c r="A148" s="3" t="s">
        <v>192</v>
      </c>
      <c r="B148" s="13" t="s">
        <v>77</v>
      </c>
      <c r="C148" s="13" t="s">
        <v>223</v>
      </c>
      <c r="D148" s="14">
        <v>358400</v>
      </c>
      <c r="E148" s="16"/>
      <c r="F148" s="14">
        <v>170700</v>
      </c>
      <c r="G148" s="14"/>
      <c r="H148" s="14">
        <f t="shared" si="33"/>
        <v>187700</v>
      </c>
      <c r="I148" s="20">
        <v>117</v>
      </c>
      <c r="M148" s="22">
        <f t="shared" si="28"/>
        <v>62910</v>
      </c>
      <c r="N148" s="25">
        <f t="shared" si="29"/>
        <v>107790</v>
      </c>
      <c r="O148" s="25">
        <f t="shared" si="30"/>
        <v>56160</v>
      </c>
      <c r="P148" s="31">
        <f t="shared" si="31"/>
        <v>10530</v>
      </c>
      <c r="Q148" s="22">
        <v>41100</v>
      </c>
    </row>
    <row r="149" spans="1:17" x14ac:dyDescent="0.25">
      <c r="A149" s="3" t="s">
        <v>192</v>
      </c>
      <c r="B149" s="13" t="s">
        <v>77</v>
      </c>
      <c r="C149" s="13" t="s">
        <v>222</v>
      </c>
      <c r="D149" s="14">
        <v>306320</v>
      </c>
      <c r="E149" s="16"/>
      <c r="F149" s="14">
        <v>184520</v>
      </c>
      <c r="G149" s="14"/>
      <c r="H149" s="14">
        <f t="shared" si="33"/>
        <v>121800</v>
      </c>
      <c r="I149" s="20">
        <v>140</v>
      </c>
      <c r="M149" s="22">
        <f t="shared" si="28"/>
        <v>63620</v>
      </c>
      <c r="N149" s="25">
        <f t="shared" si="29"/>
        <v>120900</v>
      </c>
      <c r="O149" s="25">
        <f t="shared" si="30"/>
        <v>67200</v>
      </c>
      <c r="P149" s="31">
        <f t="shared" si="31"/>
        <v>12600</v>
      </c>
      <c r="Q149" s="22">
        <v>41100</v>
      </c>
    </row>
    <row r="150" spans="1:17" x14ac:dyDescent="0.25">
      <c r="A150" s="3" t="s">
        <v>192</v>
      </c>
      <c r="B150" s="13" t="s">
        <v>77</v>
      </c>
      <c r="C150" s="13" t="s">
        <v>207</v>
      </c>
      <c r="D150" s="14">
        <v>330400</v>
      </c>
      <c r="E150" s="16"/>
      <c r="F150" s="14">
        <v>184520</v>
      </c>
      <c r="G150" s="14"/>
      <c r="H150" s="14">
        <f t="shared" ref="H150:H151" si="34">+D150-F150-G150</f>
        <v>145880</v>
      </c>
      <c r="I150" s="20">
        <v>140</v>
      </c>
      <c r="M150" s="22">
        <f t="shared" si="28"/>
        <v>63620</v>
      </c>
      <c r="N150" s="25">
        <f t="shared" si="29"/>
        <v>120900</v>
      </c>
      <c r="O150" s="25">
        <f t="shared" si="30"/>
        <v>67200</v>
      </c>
      <c r="P150" s="31">
        <f t="shared" si="31"/>
        <v>12600</v>
      </c>
      <c r="Q150" s="22">
        <v>41100</v>
      </c>
    </row>
    <row r="151" spans="1:17" x14ac:dyDescent="0.25">
      <c r="A151" s="3" t="s">
        <v>192</v>
      </c>
      <c r="B151" s="13" t="s">
        <v>77</v>
      </c>
      <c r="C151" s="13" t="s">
        <v>28</v>
      </c>
      <c r="D151" s="14">
        <v>356160</v>
      </c>
      <c r="E151" s="16"/>
      <c r="F151" s="14">
        <v>235980</v>
      </c>
      <c r="G151" s="14"/>
      <c r="H151" s="14">
        <f t="shared" si="34"/>
        <v>120180</v>
      </c>
      <c r="I151" s="20">
        <v>194</v>
      </c>
      <c r="M151" s="22">
        <f t="shared" si="28"/>
        <v>84300</v>
      </c>
      <c r="N151" s="25">
        <f t="shared" si="29"/>
        <v>151680</v>
      </c>
      <c r="O151" s="25">
        <f t="shared" si="30"/>
        <v>93120</v>
      </c>
      <c r="P151" s="31">
        <f t="shared" si="31"/>
        <v>17460</v>
      </c>
      <c r="Q151" s="22">
        <v>41100</v>
      </c>
    </row>
    <row r="152" spans="1:17" x14ac:dyDescent="0.25">
      <c r="A152" s="3" t="s">
        <v>192</v>
      </c>
      <c r="B152" s="13" t="s">
        <v>77</v>
      </c>
      <c r="C152" s="13" t="s">
        <v>232</v>
      </c>
      <c r="D152" s="14">
        <v>441840</v>
      </c>
      <c r="E152" s="16"/>
      <c r="F152" s="14"/>
      <c r="G152" s="14">
        <f>+I152*900</f>
        <v>154800</v>
      </c>
      <c r="H152" s="14">
        <f t="shared" si="33"/>
        <v>287040</v>
      </c>
      <c r="I152" s="20">
        <v>172</v>
      </c>
      <c r="M152" s="22">
        <f t="shared" si="28"/>
        <v>15660</v>
      </c>
      <c r="N152" s="25">
        <f t="shared" si="29"/>
        <v>139140</v>
      </c>
      <c r="O152" s="25">
        <f t="shared" si="30"/>
        <v>82560</v>
      </c>
      <c r="P152" s="31">
        <f t="shared" si="31"/>
        <v>15480</v>
      </c>
      <c r="Q152" s="22">
        <v>41100</v>
      </c>
    </row>
    <row r="153" spans="1:17" x14ac:dyDescent="0.25">
      <c r="A153" s="3" t="s">
        <v>192</v>
      </c>
      <c r="B153" s="13" t="s">
        <v>77</v>
      </c>
      <c r="C153" s="13" t="s">
        <v>240</v>
      </c>
      <c r="D153" s="14">
        <v>208320</v>
      </c>
      <c r="E153" s="16"/>
      <c r="F153" s="14">
        <v>38700.5</v>
      </c>
      <c r="G153" s="14"/>
      <c r="H153" s="14">
        <f t="shared" si="33"/>
        <v>169619.5</v>
      </c>
      <c r="I153" s="20">
        <v>24</v>
      </c>
      <c r="M153" s="22">
        <f t="shared" si="28"/>
        <v>-3879.5</v>
      </c>
      <c r="N153" s="25">
        <f t="shared" si="29"/>
        <v>42580</v>
      </c>
      <c r="O153" s="25">
        <f t="shared" si="30"/>
        <v>11520</v>
      </c>
      <c r="P153" s="31">
        <f t="shared" si="31"/>
        <v>2160</v>
      </c>
      <c r="Q153" s="22">
        <v>28900</v>
      </c>
    </row>
    <row r="154" spans="1:17" x14ac:dyDescent="0.25">
      <c r="A154" s="3" t="s">
        <v>192</v>
      </c>
      <c r="B154" s="13" t="s">
        <v>77</v>
      </c>
      <c r="C154" s="13" t="s">
        <v>242</v>
      </c>
      <c r="D154" s="14">
        <v>245280</v>
      </c>
      <c r="E154" s="16"/>
      <c r="F154" s="14"/>
      <c r="G154" s="14">
        <f>+I154*900</f>
        <v>38700</v>
      </c>
      <c r="H154" s="14">
        <f t="shared" si="33"/>
        <v>206580</v>
      </c>
      <c r="I154" s="20">
        <v>43</v>
      </c>
      <c r="M154" s="22">
        <f t="shared" si="28"/>
        <v>-26910</v>
      </c>
      <c r="N154" s="25">
        <f t="shared" si="29"/>
        <v>65610</v>
      </c>
      <c r="O154" s="25">
        <f t="shared" si="30"/>
        <v>20640</v>
      </c>
      <c r="P154" s="31">
        <f t="shared" si="31"/>
        <v>3870</v>
      </c>
      <c r="Q154" s="22">
        <v>41100</v>
      </c>
    </row>
    <row r="155" spans="1:17" x14ac:dyDescent="0.25">
      <c r="A155" s="3" t="s">
        <v>192</v>
      </c>
      <c r="B155" s="13" t="s">
        <v>77</v>
      </c>
      <c r="C155" s="13" t="s">
        <v>221</v>
      </c>
      <c r="D155" s="14">
        <v>72800</v>
      </c>
      <c r="E155" s="16"/>
      <c r="F155" s="14"/>
      <c r="G155" s="14">
        <v>2000</v>
      </c>
      <c r="H155" s="14">
        <f t="shared" si="33"/>
        <v>70800</v>
      </c>
      <c r="I155" s="20">
        <v>2</v>
      </c>
      <c r="M155" s="22">
        <f t="shared" si="28"/>
        <v>860</v>
      </c>
      <c r="N155" s="25">
        <f t="shared" si="29"/>
        <v>1140</v>
      </c>
      <c r="O155" s="25">
        <f t="shared" si="30"/>
        <v>960</v>
      </c>
      <c r="P155" s="31">
        <f t="shared" si="31"/>
        <v>180</v>
      </c>
      <c r="Q155" s="22">
        <v>0</v>
      </c>
    </row>
    <row r="156" spans="1:17" x14ac:dyDescent="0.25">
      <c r="A156" s="3" t="s">
        <v>192</v>
      </c>
      <c r="B156" s="13" t="s">
        <v>77</v>
      </c>
      <c r="C156" s="13" t="s">
        <v>239</v>
      </c>
      <c r="D156" s="14">
        <v>245280</v>
      </c>
      <c r="E156" s="16"/>
      <c r="F156" s="14"/>
      <c r="G156" s="14">
        <f>+I156*900</f>
        <v>52200</v>
      </c>
      <c r="H156" s="14">
        <f t="shared" si="33"/>
        <v>193080</v>
      </c>
      <c r="I156" s="20">
        <v>58</v>
      </c>
      <c r="M156" s="22">
        <f t="shared" si="28"/>
        <v>-21960</v>
      </c>
      <c r="N156" s="25">
        <f t="shared" si="29"/>
        <v>74160</v>
      </c>
      <c r="O156" s="25">
        <f t="shared" si="30"/>
        <v>27840</v>
      </c>
      <c r="P156" s="31">
        <f t="shared" si="31"/>
        <v>5220</v>
      </c>
      <c r="Q156" s="22">
        <v>41100</v>
      </c>
    </row>
    <row r="157" spans="1:17" x14ac:dyDescent="0.25">
      <c r="A157" s="3" t="s">
        <v>192</v>
      </c>
      <c r="B157" s="13" t="s">
        <v>77</v>
      </c>
      <c r="C157" s="13" t="s">
        <v>198</v>
      </c>
      <c r="D157" s="14">
        <v>258160</v>
      </c>
      <c r="E157" s="16"/>
      <c r="F157" s="14">
        <v>84190</v>
      </c>
      <c r="G157" s="14"/>
      <c r="H157" s="14">
        <f>+D169-F157-G157</f>
        <v>222130</v>
      </c>
      <c r="I157" s="20">
        <v>77</v>
      </c>
      <c r="M157" s="22">
        <f t="shared" si="28"/>
        <v>-14600</v>
      </c>
      <c r="N157" s="25">
        <f t="shared" si="29"/>
        <v>98790</v>
      </c>
      <c r="O157" s="25">
        <f t="shared" si="30"/>
        <v>36960</v>
      </c>
      <c r="P157" s="31">
        <f t="shared" si="31"/>
        <v>6930</v>
      </c>
      <c r="Q157" s="22">
        <v>54900</v>
      </c>
    </row>
    <row r="158" spans="1:17" x14ac:dyDescent="0.25">
      <c r="A158" s="3" t="s">
        <v>192</v>
      </c>
      <c r="B158" s="13" t="s">
        <v>77</v>
      </c>
      <c r="C158" s="13" t="s">
        <v>233</v>
      </c>
      <c r="D158" s="14">
        <v>463120</v>
      </c>
      <c r="E158" s="16"/>
      <c r="F158" s="14"/>
      <c r="G158" s="14">
        <f>+I158*900</f>
        <v>154800</v>
      </c>
      <c r="H158" s="14">
        <f t="shared" si="33"/>
        <v>308320</v>
      </c>
      <c r="I158" s="20">
        <v>172</v>
      </c>
      <c r="M158" s="22">
        <f t="shared" si="28"/>
        <v>15660</v>
      </c>
      <c r="N158" s="25">
        <f t="shared" si="29"/>
        <v>139140</v>
      </c>
      <c r="O158" s="25">
        <f t="shared" si="30"/>
        <v>82560</v>
      </c>
      <c r="P158" s="31">
        <f t="shared" si="31"/>
        <v>15480</v>
      </c>
      <c r="Q158" s="22">
        <v>41100</v>
      </c>
    </row>
    <row r="159" spans="1:17" x14ac:dyDescent="0.25">
      <c r="A159" s="3" t="s">
        <v>192</v>
      </c>
      <c r="B159" s="13" t="s">
        <v>77</v>
      </c>
      <c r="C159" s="13" t="s">
        <v>235</v>
      </c>
      <c r="D159" s="14">
        <v>441840</v>
      </c>
      <c r="E159" s="16"/>
      <c r="F159" s="14"/>
      <c r="G159" s="14">
        <f>+I159*900</f>
        <v>154800</v>
      </c>
      <c r="H159" s="14">
        <f t="shared" si="33"/>
        <v>287040</v>
      </c>
      <c r="I159" s="20">
        <v>172</v>
      </c>
      <c r="M159" s="22">
        <f t="shared" si="28"/>
        <v>27860</v>
      </c>
      <c r="N159" s="25">
        <f t="shared" si="29"/>
        <v>126940</v>
      </c>
      <c r="O159" s="25">
        <f t="shared" si="30"/>
        <v>82560</v>
      </c>
      <c r="P159" s="31">
        <f t="shared" si="31"/>
        <v>15480</v>
      </c>
      <c r="Q159" s="22">
        <v>28900</v>
      </c>
    </row>
    <row r="160" spans="1:17" x14ac:dyDescent="0.25">
      <c r="A160" s="3" t="s">
        <v>192</v>
      </c>
      <c r="B160" s="13" t="s">
        <v>77</v>
      </c>
      <c r="C160" s="13" t="s">
        <v>220</v>
      </c>
      <c r="D160" s="14">
        <v>712320</v>
      </c>
      <c r="E160" s="16"/>
      <c r="F160" s="14"/>
      <c r="G160" s="14">
        <v>389130</v>
      </c>
      <c r="H160" s="14">
        <f t="shared" si="33"/>
        <v>323190</v>
      </c>
      <c r="I160" s="20">
        <v>342</v>
      </c>
      <c r="M160" s="22">
        <f t="shared" si="28"/>
        <v>119290</v>
      </c>
      <c r="N160" s="25">
        <f t="shared" si="29"/>
        <v>269840</v>
      </c>
      <c r="O160" s="25">
        <f t="shared" si="30"/>
        <v>164160</v>
      </c>
      <c r="P160" s="31">
        <f t="shared" si="31"/>
        <v>30780</v>
      </c>
      <c r="Q160" s="22">
        <v>74900</v>
      </c>
    </row>
    <row r="161" spans="1:17" x14ac:dyDescent="0.25">
      <c r="A161" s="3" t="s">
        <v>192</v>
      </c>
      <c r="B161" s="13" t="s">
        <v>77</v>
      </c>
      <c r="C161" s="13" t="s">
        <v>206</v>
      </c>
      <c r="D161" s="14">
        <v>307440</v>
      </c>
      <c r="E161" s="16"/>
      <c r="F161" s="14">
        <v>69673</v>
      </c>
      <c r="G161" s="14"/>
      <c r="H161" s="14">
        <f>+D179-F161-G161</f>
        <v>220327</v>
      </c>
      <c r="I161" s="20">
        <v>92</v>
      </c>
      <c r="M161" s="22">
        <f t="shared" si="28"/>
        <v>-14567</v>
      </c>
      <c r="N161" s="25">
        <f t="shared" si="29"/>
        <v>84240</v>
      </c>
      <c r="O161" s="25">
        <f t="shared" si="30"/>
        <v>44160</v>
      </c>
      <c r="P161" s="31">
        <f t="shared" si="31"/>
        <v>8280</v>
      </c>
      <c r="Q161" s="22">
        <v>31800</v>
      </c>
    </row>
    <row r="162" spans="1:17" x14ac:dyDescent="0.25">
      <c r="A162" s="3" t="s">
        <v>192</v>
      </c>
      <c r="B162" s="13" t="s">
        <v>77</v>
      </c>
      <c r="C162" s="13" t="s">
        <v>211</v>
      </c>
      <c r="D162" s="14">
        <v>400960</v>
      </c>
      <c r="E162" s="16"/>
      <c r="F162" s="14">
        <v>91248.5</v>
      </c>
      <c r="G162" s="14"/>
      <c r="H162" s="14">
        <f t="shared" si="33"/>
        <v>309711.5</v>
      </c>
      <c r="I162" s="20">
        <v>133</v>
      </c>
      <c r="M162" s="22">
        <f t="shared" si="28"/>
        <v>-25661.5</v>
      </c>
      <c r="N162" s="25">
        <f t="shared" si="29"/>
        <v>116910</v>
      </c>
      <c r="O162" s="25">
        <f t="shared" si="30"/>
        <v>63840</v>
      </c>
      <c r="P162" s="31">
        <f t="shared" si="31"/>
        <v>11970</v>
      </c>
      <c r="Q162" s="22">
        <v>41100</v>
      </c>
    </row>
    <row r="163" spans="1:17" x14ac:dyDescent="0.25">
      <c r="A163" s="3" t="s">
        <v>192</v>
      </c>
      <c r="B163" s="13" t="s">
        <v>77</v>
      </c>
      <c r="C163" s="13" t="s">
        <v>219</v>
      </c>
      <c r="D163" s="14">
        <v>245280</v>
      </c>
      <c r="E163" s="16"/>
      <c r="F163" s="14">
        <v>38700.5</v>
      </c>
      <c r="G163" s="14"/>
      <c r="H163" s="14">
        <f t="shared" si="33"/>
        <v>206579.5</v>
      </c>
      <c r="I163" s="20">
        <v>24</v>
      </c>
      <c r="M163" s="22">
        <f t="shared" si="28"/>
        <v>-3879.5</v>
      </c>
      <c r="N163" s="25">
        <f t="shared" si="29"/>
        <v>42580</v>
      </c>
      <c r="O163" s="25">
        <f t="shared" si="30"/>
        <v>11520</v>
      </c>
      <c r="P163" s="31">
        <f t="shared" si="31"/>
        <v>2160</v>
      </c>
      <c r="Q163" s="22">
        <v>28900</v>
      </c>
    </row>
    <row r="164" spans="1:17" x14ac:dyDescent="0.25">
      <c r="A164" s="3" t="s">
        <v>192</v>
      </c>
      <c r="B164" s="13" t="s">
        <v>77</v>
      </c>
      <c r="C164" s="13" t="s">
        <v>226</v>
      </c>
      <c r="D164" s="14">
        <v>2004800</v>
      </c>
      <c r="E164" s="16"/>
      <c r="F164" s="14"/>
      <c r="G164" s="14">
        <v>921550</v>
      </c>
      <c r="H164" s="14">
        <f t="shared" si="33"/>
        <v>1083250</v>
      </c>
      <c r="I164" s="20">
        <v>1025</v>
      </c>
      <c r="M164" s="22">
        <f t="shared" si="28"/>
        <v>163300</v>
      </c>
      <c r="N164" s="25">
        <f t="shared" si="29"/>
        <v>758250</v>
      </c>
      <c r="O164" s="25">
        <f t="shared" si="30"/>
        <v>492000</v>
      </c>
      <c r="P164" s="31">
        <f t="shared" si="31"/>
        <v>92250</v>
      </c>
      <c r="Q164" s="22">
        <v>174000</v>
      </c>
    </row>
    <row r="165" spans="1:17" x14ac:dyDescent="0.25">
      <c r="A165" s="3" t="s">
        <v>192</v>
      </c>
      <c r="B165" s="13" t="s">
        <v>77</v>
      </c>
      <c r="C165" s="13" t="s">
        <v>241</v>
      </c>
      <c r="D165" s="14">
        <v>448000</v>
      </c>
      <c r="E165" s="16"/>
      <c r="F165" s="14">
        <v>184520</v>
      </c>
      <c r="G165" s="14"/>
      <c r="H165" s="14">
        <f t="shared" ref="H165" si="35">+D165-F165-G165</f>
        <v>263480</v>
      </c>
      <c r="I165" s="20">
        <v>140</v>
      </c>
      <c r="M165" s="22">
        <f t="shared" si="28"/>
        <v>63620</v>
      </c>
      <c r="N165" s="25">
        <f t="shared" si="29"/>
        <v>120900</v>
      </c>
      <c r="O165" s="25">
        <f t="shared" si="30"/>
        <v>67200</v>
      </c>
      <c r="P165" s="31">
        <f t="shared" si="31"/>
        <v>12600</v>
      </c>
      <c r="Q165" s="22">
        <v>41100</v>
      </c>
    </row>
    <row r="166" spans="1:17" x14ac:dyDescent="0.25">
      <c r="A166" s="3" t="s">
        <v>192</v>
      </c>
      <c r="B166" s="13" t="s">
        <v>77</v>
      </c>
      <c r="C166" s="13" t="s">
        <v>227</v>
      </c>
      <c r="D166" s="14">
        <v>1780800</v>
      </c>
      <c r="E166" s="16"/>
      <c r="F166" s="14"/>
      <c r="G166" s="14">
        <v>921550</v>
      </c>
      <c r="H166" s="14">
        <f t="shared" ref="H166:H175" si="36">+D166-F166-G166</f>
        <v>859250</v>
      </c>
      <c r="I166" s="20">
        <v>1025</v>
      </c>
      <c r="M166" s="22">
        <f t="shared" si="28"/>
        <v>163300</v>
      </c>
      <c r="N166" s="25">
        <f t="shared" si="29"/>
        <v>758250</v>
      </c>
      <c r="O166" s="25">
        <f t="shared" si="30"/>
        <v>492000</v>
      </c>
      <c r="P166" s="31">
        <f t="shared" si="31"/>
        <v>92250</v>
      </c>
      <c r="Q166" s="22">
        <v>174000</v>
      </c>
    </row>
    <row r="167" spans="1:17" x14ac:dyDescent="0.25">
      <c r="A167" s="3" t="s">
        <v>192</v>
      </c>
      <c r="B167" s="13" t="s">
        <v>77</v>
      </c>
      <c r="C167" s="13" t="s">
        <v>234</v>
      </c>
      <c r="D167" s="14">
        <v>245280</v>
      </c>
      <c r="E167" s="16"/>
      <c r="F167" s="14">
        <v>84190</v>
      </c>
      <c r="G167" s="14"/>
      <c r="H167" s="14">
        <f t="shared" si="36"/>
        <v>161090</v>
      </c>
      <c r="I167" s="20">
        <v>77</v>
      </c>
      <c r="M167" s="22">
        <f t="shared" si="28"/>
        <v>-14600</v>
      </c>
      <c r="N167" s="25">
        <f t="shared" si="29"/>
        <v>98790</v>
      </c>
      <c r="O167" s="25">
        <f t="shared" si="30"/>
        <v>36960</v>
      </c>
      <c r="P167" s="31">
        <f t="shared" si="31"/>
        <v>6930</v>
      </c>
      <c r="Q167" s="22">
        <v>54900</v>
      </c>
    </row>
    <row r="168" spans="1:17" x14ac:dyDescent="0.25">
      <c r="A168" s="3" t="s">
        <v>192</v>
      </c>
      <c r="B168" s="13" t="s">
        <v>77</v>
      </c>
      <c r="C168" s="13" t="s">
        <v>236</v>
      </c>
      <c r="D168" s="14">
        <v>202720</v>
      </c>
      <c r="E168" s="16"/>
      <c r="F168" s="14">
        <v>69673</v>
      </c>
      <c r="G168" s="14"/>
      <c r="H168" s="14">
        <f t="shared" si="36"/>
        <v>133047</v>
      </c>
      <c r="I168" s="20">
        <v>92</v>
      </c>
      <c r="M168" s="22">
        <f t="shared" si="28"/>
        <v>-14567</v>
      </c>
      <c r="N168" s="25">
        <f t="shared" si="29"/>
        <v>84240</v>
      </c>
      <c r="O168" s="25">
        <f t="shared" si="30"/>
        <v>44160</v>
      </c>
      <c r="P168" s="31">
        <f t="shared" si="31"/>
        <v>8280</v>
      </c>
      <c r="Q168" s="22">
        <v>31800</v>
      </c>
    </row>
    <row r="169" spans="1:17" x14ac:dyDescent="0.25">
      <c r="A169" s="3" t="s">
        <v>192</v>
      </c>
      <c r="B169" s="13" t="s">
        <v>77</v>
      </c>
      <c r="C169" s="13" t="s">
        <v>237</v>
      </c>
      <c r="D169" s="14">
        <v>306320</v>
      </c>
      <c r="E169" s="16"/>
      <c r="F169" s="14">
        <v>170700</v>
      </c>
      <c r="G169" s="14"/>
      <c r="H169" s="14">
        <f t="shared" si="36"/>
        <v>135620</v>
      </c>
      <c r="I169" s="20">
        <v>131</v>
      </c>
      <c r="M169" s="22">
        <f t="shared" si="28"/>
        <v>54930</v>
      </c>
      <c r="N169" s="25">
        <f t="shared" si="29"/>
        <v>115770</v>
      </c>
      <c r="O169" s="25">
        <f t="shared" si="30"/>
        <v>62880</v>
      </c>
      <c r="P169" s="31">
        <f t="shared" si="31"/>
        <v>11790</v>
      </c>
      <c r="Q169" s="22">
        <v>41100</v>
      </c>
    </row>
    <row r="170" spans="1:17" x14ac:dyDescent="0.25">
      <c r="A170" s="3" t="s">
        <v>192</v>
      </c>
      <c r="B170" s="13" t="s">
        <v>32</v>
      </c>
      <c r="C170" s="13" t="s">
        <v>243</v>
      </c>
      <c r="D170" s="14">
        <v>2015000</v>
      </c>
      <c r="E170" s="16"/>
      <c r="F170" s="14"/>
      <c r="G170" s="14">
        <v>890000</v>
      </c>
      <c r="H170" s="14">
        <f t="shared" si="36"/>
        <v>1125000</v>
      </c>
      <c r="I170" s="20">
        <v>1192</v>
      </c>
      <c r="M170" s="22">
        <f t="shared" si="28"/>
        <v>-13440</v>
      </c>
      <c r="N170" s="25">
        <f t="shared" si="29"/>
        <v>903440</v>
      </c>
      <c r="O170" s="25">
        <f t="shared" si="30"/>
        <v>572160</v>
      </c>
      <c r="P170" s="31">
        <f t="shared" si="31"/>
        <v>107280</v>
      </c>
      <c r="Q170" s="22">
        <v>224000</v>
      </c>
    </row>
    <row r="171" spans="1:17" x14ac:dyDescent="0.25">
      <c r="A171" s="3" t="s">
        <v>246</v>
      </c>
      <c r="B171" s="13" t="s">
        <v>12</v>
      </c>
      <c r="C171" s="13" t="s">
        <v>64</v>
      </c>
      <c r="D171" s="14">
        <v>1190000</v>
      </c>
      <c r="E171" s="16"/>
      <c r="F171" s="14">
        <f>+I171*835</f>
        <v>434200</v>
      </c>
      <c r="G171" s="14"/>
      <c r="H171" s="14">
        <f t="shared" si="36"/>
        <v>755800</v>
      </c>
      <c r="I171" s="20">
        <v>520</v>
      </c>
      <c r="M171" s="22">
        <f t="shared" si="28"/>
        <v>54300</v>
      </c>
      <c r="N171" s="25">
        <f t="shared" si="29"/>
        <v>379900</v>
      </c>
      <c r="O171" s="25">
        <f t="shared" si="30"/>
        <v>249600</v>
      </c>
      <c r="P171" s="31">
        <f t="shared" si="31"/>
        <v>46800</v>
      </c>
      <c r="Q171" s="22">
        <v>83500</v>
      </c>
    </row>
    <row r="172" spans="1:17" x14ac:dyDescent="0.25">
      <c r="A172" s="3" t="s">
        <v>250</v>
      </c>
      <c r="B172" s="13" t="s">
        <v>12</v>
      </c>
      <c r="C172" s="13" t="s">
        <v>77</v>
      </c>
      <c r="D172" s="14">
        <v>315000</v>
      </c>
      <c r="E172" s="16"/>
      <c r="F172" s="14">
        <v>84190</v>
      </c>
      <c r="G172" s="14"/>
      <c r="H172" s="14">
        <f t="shared" si="36"/>
        <v>230810</v>
      </c>
      <c r="I172" s="20">
        <v>58</v>
      </c>
      <c r="M172" s="22">
        <f t="shared" si="28"/>
        <v>22230</v>
      </c>
      <c r="N172" s="25">
        <f t="shared" si="29"/>
        <v>61960</v>
      </c>
      <c r="O172" s="25">
        <f t="shared" si="30"/>
        <v>27840</v>
      </c>
      <c r="P172" s="31">
        <f t="shared" si="31"/>
        <v>5220</v>
      </c>
      <c r="Q172" s="22">
        <v>28900</v>
      </c>
    </row>
    <row r="173" spans="1:17" x14ac:dyDescent="0.25">
      <c r="A173" s="3" t="s">
        <v>253</v>
      </c>
      <c r="B173" s="13" t="s">
        <v>12</v>
      </c>
      <c r="C173" s="13" t="s">
        <v>254</v>
      </c>
      <c r="D173" s="14">
        <v>12800000</v>
      </c>
      <c r="E173" s="16"/>
      <c r="F173" s="14"/>
      <c r="G173" s="14">
        <f>5433929-300000</f>
        <v>5133929</v>
      </c>
      <c r="H173" s="14">
        <f t="shared" si="36"/>
        <v>7666071</v>
      </c>
      <c r="I173" s="20">
        <v>7500</v>
      </c>
      <c r="M173" s="22"/>
      <c r="N173" s="25"/>
      <c r="O173" s="25"/>
      <c r="P173" s="31"/>
      <c r="Q173" s="22"/>
    </row>
    <row r="174" spans="1:17" x14ac:dyDescent="0.25">
      <c r="A174" s="3" t="s">
        <v>259</v>
      </c>
      <c r="B174" s="13" t="s">
        <v>12</v>
      </c>
      <c r="C174" s="13" t="s">
        <v>12</v>
      </c>
      <c r="D174" s="14">
        <v>374000</v>
      </c>
      <c r="E174" s="16"/>
      <c r="F174" s="14"/>
      <c r="G174" s="14">
        <f>+I174*900</f>
        <v>27000</v>
      </c>
      <c r="H174" s="14">
        <f t="shared" si="36"/>
        <v>347000</v>
      </c>
      <c r="I174" s="20">
        <v>30</v>
      </c>
      <c r="M174" s="22">
        <f t="shared" si="28"/>
        <v>-6800</v>
      </c>
      <c r="N174" s="25">
        <f t="shared" si="29"/>
        <v>33800</v>
      </c>
      <c r="O174" s="25">
        <f t="shared" si="30"/>
        <v>14400</v>
      </c>
      <c r="P174" s="31">
        <f t="shared" si="31"/>
        <v>2700</v>
      </c>
      <c r="Q174" s="22">
        <v>16700</v>
      </c>
    </row>
    <row r="175" spans="1:17" x14ac:dyDescent="0.25">
      <c r="A175" s="3" t="s">
        <v>259</v>
      </c>
      <c r="B175" s="13" t="s">
        <v>12</v>
      </c>
      <c r="C175" s="13" t="s">
        <v>260</v>
      </c>
      <c r="D175" s="14">
        <v>420000</v>
      </c>
      <c r="E175" s="16"/>
      <c r="F175" s="14"/>
      <c r="G175" s="14">
        <f>+I175*800</f>
        <v>40000</v>
      </c>
      <c r="H175" s="14">
        <f t="shared" si="36"/>
        <v>380000</v>
      </c>
      <c r="I175" s="20">
        <v>50</v>
      </c>
      <c r="M175" s="22">
        <f t="shared" si="28"/>
        <v>-17400</v>
      </c>
      <c r="N175" s="25">
        <f t="shared" si="29"/>
        <v>57400</v>
      </c>
      <c r="O175" s="25">
        <f t="shared" si="30"/>
        <v>24000</v>
      </c>
      <c r="P175" s="31">
        <f t="shared" si="31"/>
        <v>4500</v>
      </c>
      <c r="Q175" s="22">
        <v>28900</v>
      </c>
    </row>
    <row r="176" spans="1:17" x14ac:dyDescent="0.25">
      <c r="A176" s="3" t="s">
        <v>259</v>
      </c>
      <c r="B176" s="13" t="s">
        <v>12</v>
      </c>
      <c r="C176" s="13" t="s">
        <v>29</v>
      </c>
      <c r="D176" s="14">
        <v>1170000</v>
      </c>
      <c r="E176" s="16"/>
      <c r="F176" s="14"/>
      <c r="G176" s="14">
        <v>389130</v>
      </c>
      <c r="H176" s="14">
        <f t="shared" ref="H176:H178" si="37">+D176-F176-G176</f>
        <v>780870</v>
      </c>
      <c r="I176" s="20">
        <v>430</v>
      </c>
      <c r="M176" s="22">
        <f t="shared" si="28"/>
        <v>69130</v>
      </c>
      <c r="N176" s="25">
        <f t="shared" si="29"/>
        <v>320000</v>
      </c>
      <c r="O176" s="25">
        <f t="shared" si="30"/>
        <v>206400</v>
      </c>
      <c r="P176" s="31">
        <f t="shared" si="31"/>
        <v>38700</v>
      </c>
      <c r="Q176" s="22">
        <v>74900</v>
      </c>
    </row>
    <row r="177" spans="1:17" x14ac:dyDescent="0.25">
      <c r="A177" s="3" t="s">
        <v>273</v>
      </c>
      <c r="B177" s="13" t="s">
        <v>8</v>
      </c>
      <c r="C177" s="13" t="s">
        <v>6</v>
      </c>
      <c r="D177" s="14">
        <v>790000</v>
      </c>
      <c r="E177" s="16"/>
      <c r="F177" s="14"/>
      <c r="G177" s="14">
        <v>504970</v>
      </c>
      <c r="H177" s="14">
        <f t="shared" si="37"/>
        <v>285030</v>
      </c>
      <c r="I177" s="20">
        <v>670</v>
      </c>
      <c r="M177" s="22">
        <f t="shared" si="28"/>
        <v>23970</v>
      </c>
      <c r="N177" s="25">
        <f t="shared" si="29"/>
        <v>481000</v>
      </c>
      <c r="O177" s="25">
        <f t="shared" ref="O177" si="38">+I177/$R$3*$S$3</f>
        <v>321600</v>
      </c>
      <c r="P177" s="31">
        <f t="shared" ref="P177:P178" si="39">+I177*$T$3</f>
        <v>60300</v>
      </c>
      <c r="Q177" s="22">
        <v>99100</v>
      </c>
    </row>
    <row r="178" spans="1:17" x14ac:dyDescent="0.25">
      <c r="A178" s="3" t="s">
        <v>273</v>
      </c>
      <c r="B178" s="13" t="s">
        <v>8</v>
      </c>
      <c r="C178" s="13" t="s">
        <v>12</v>
      </c>
      <c r="D178" s="14">
        <v>1489000</v>
      </c>
      <c r="E178" s="16"/>
      <c r="F178" s="14"/>
      <c r="G178" s="14">
        <v>887010</v>
      </c>
      <c r="H178" s="14">
        <f t="shared" si="37"/>
        <v>601990</v>
      </c>
      <c r="I178" s="20">
        <v>1090</v>
      </c>
      <c r="M178" s="22">
        <f t="shared" si="28"/>
        <v>91710</v>
      </c>
      <c r="N178" s="25">
        <f t="shared" si="29"/>
        <v>795300</v>
      </c>
      <c r="O178" s="25">
        <f t="shared" ref="O178" si="40">+I178/$R$3*$S$3</f>
        <v>523200</v>
      </c>
      <c r="P178" s="31">
        <f t="shared" si="39"/>
        <v>98100</v>
      </c>
      <c r="Q178" s="22">
        <v>174000</v>
      </c>
    </row>
    <row r="179" spans="1:17" x14ac:dyDescent="0.25">
      <c r="A179" s="3" t="s">
        <v>275</v>
      </c>
      <c r="B179" s="13" t="s">
        <v>12</v>
      </c>
      <c r="C179" s="13" t="s">
        <v>274</v>
      </c>
      <c r="D179" s="14">
        <v>290000</v>
      </c>
      <c r="E179" s="16"/>
      <c r="F179" s="14"/>
      <c r="G179" s="14"/>
      <c r="H179" s="14">
        <f t="shared" ref="H179:H180" si="41">+D179-F179-G179</f>
        <v>290000</v>
      </c>
      <c r="I179" s="20">
        <v>32</v>
      </c>
      <c r="M179" s="22">
        <f t="shared" ref="M179:M180" si="42">+F179+G179-N179</f>
        <v>-34940</v>
      </c>
      <c r="N179" s="25">
        <f t="shared" ref="N179:N180" si="43">+SUM(O179:Q179)</f>
        <v>34940</v>
      </c>
      <c r="O179" s="25">
        <f t="shared" ref="O179:O180" si="44">+I179/$R$3*$S$3</f>
        <v>15360</v>
      </c>
      <c r="P179" s="31">
        <f t="shared" ref="P179:P180" si="45">+I179*$T$3</f>
        <v>2880</v>
      </c>
      <c r="Q179" s="22">
        <v>16700</v>
      </c>
    </row>
    <row r="180" spans="1:17" x14ac:dyDescent="0.25">
      <c r="A180" s="3" t="s">
        <v>275</v>
      </c>
      <c r="B180" s="13" t="s">
        <v>276</v>
      </c>
      <c r="C180" s="13" t="s">
        <v>200</v>
      </c>
      <c r="D180" s="14">
        <v>340000</v>
      </c>
      <c r="E180" s="16"/>
      <c r="F180" s="14"/>
      <c r="G180" s="14"/>
      <c r="H180" s="14">
        <f t="shared" si="41"/>
        <v>340000</v>
      </c>
      <c r="I180" s="20">
        <v>56</v>
      </c>
      <c r="M180" s="22">
        <f t="shared" si="42"/>
        <v>-48620</v>
      </c>
      <c r="N180" s="25">
        <f t="shared" si="43"/>
        <v>48620</v>
      </c>
      <c r="O180" s="25">
        <f t="shared" si="44"/>
        <v>26880</v>
      </c>
      <c r="P180" s="31">
        <f t="shared" si="45"/>
        <v>5040</v>
      </c>
      <c r="Q180" s="22">
        <v>16700</v>
      </c>
    </row>
    <row r="184" spans="1:17" x14ac:dyDescent="0.25">
      <c r="C184" s="21"/>
      <c r="D184" s="21"/>
    </row>
    <row r="185" spans="1:17" x14ac:dyDescent="0.25">
      <c r="C185" s="21"/>
      <c r="D185" s="21"/>
    </row>
    <row r="186" spans="1:17" x14ac:dyDescent="0.25">
      <c r="C186" s="21"/>
      <c r="D186" s="21"/>
    </row>
    <row r="187" spans="1:17" x14ac:dyDescent="0.25">
      <c r="C187" s="21"/>
      <c r="D187" s="21"/>
    </row>
    <row r="188" spans="1:17" x14ac:dyDescent="0.25">
      <c r="C188" s="21"/>
      <c r="D188" s="21"/>
    </row>
    <row r="189" spans="1:17" x14ac:dyDescent="0.25">
      <c r="C189" s="21"/>
      <c r="D189" s="21"/>
    </row>
    <row r="190" spans="1:17" x14ac:dyDescent="0.25">
      <c r="C190" s="21"/>
      <c r="D190" s="21"/>
    </row>
    <row r="191" spans="1:17" x14ac:dyDescent="0.25">
      <c r="C191" s="21"/>
      <c r="D191" s="21"/>
    </row>
  </sheetData>
  <pageMargins left="0.75" right="0.75" top="1" bottom="1" header="0.5" footer="0.5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D231"/>
  <sheetViews>
    <sheetView topLeftCell="A10" workbookViewId="0">
      <selection activeCell="C19" sqref="C19"/>
    </sheetView>
  </sheetViews>
  <sheetFormatPr baseColWidth="10" defaultColWidth="8.7109375" defaultRowHeight="15" x14ac:dyDescent="0.25"/>
  <cols>
    <col min="2" max="2" width="20.28515625" style="5" bestFit="1" customWidth="1"/>
    <col min="3" max="3" width="23.28515625" style="5" bestFit="1" customWidth="1"/>
    <col min="4" max="4" width="35.42578125" style="5" customWidth="1"/>
  </cols>
  <sheetData>
    <row r="1" spans="2:4" ht="18.75" x14ac:dyDescent="0.3">
      <c r="B1" s="6" t="s">
        <v>170</v>
      </c>
      <c r="C1" s="7" t="s">
        <v>171</v>
      </c>
      <c r="D1" s="8" t="s">
        <v>139</v>
      </c>
    </row>
    <row r="2" spans="2:4" ht="18.75" x14ac:dyDescent="0.25">
      <c r="B2" s="9" t="s">
        <v>80</v>
      </c>
      <c r="C2" s="9" t="s">
        <v>110</v>
      </c>
      <c r="D2" s="9" t="s">
        <v>140</v>
      </c>
    </row>
    <row r="3" spans="2:4" ht="18.75" x14ac:dyDescent="0.25">
      <c r="B3" s="9" t="s">
        <v>81</v>
      </c>
      <c r="C3" s="9" t="s">
        <v>111</v>
      </c>
      <c r="D3" s="9" t="s">
        <v>141</v>
      </c>
    </row>
    <row r="4" spans="2:4" ht="18.75" x14ac:dyDescent="0.25">
      <c r="B4" s="9" t="s">
        <v>82</v>
      </c>
      <c r="C4" s="9" t="s">
        <v>112</v>
      </c>
      <c r="D4" s="9" t="s">
        <v>142</v>
      </c>
    </row>
    <row r="5" spans="2:4" ht="18.75" x14ac:dyDescent="0.3">
      <c r="B5" s="9" t="s">
        <v>83</v>
      </c>
      <c r="C5" s="10" t="s">
        <v>113</v>
      </c>
      <c r="D5" s="10" t="s">
        <v>143</v>
      </c>
    </row>
    <row r="6" spans="2:4" ht="18.75" x14ac:dyDescent="0.25">
      <c r="B6" s="9" t="s">
        <v>84</v>
      </c>
      <c r="C6" s="9" t="s">
        <v>114</v>
      </c>
      <c r="D6" s="9" t="s">
        <v>144</v>
      </c>
    </row>
    <row r="7" spans="2:4" ht="18.75" x14ac:dyDescent="0.25">
      <c r="B7" s="9" t="s">
        <v>85</v>
      </c>
      <c r="C7" s="9" t="s">
        <v>115</v>
      </c>
      <c r="D7" s="9" t="s">
        <v>145</v>
      </c>
    </row>
    <row r="8" spans="2:4" ht="18.75" x14ac:dyDescent="0.25">
      <c r="B8" s="9" t="s">
        <v>86</v>
      </c>
      <c r="C8" s="9" t="s">
        <v>116</v>
      </c>
      <c r="D8" s="9" t="s">
        <v>146</v>
      </c>
    </row>
    <row r="9" spans="2:4" ht="18.75" x14ac:dyDescent="0.25">
      <c r="B9" s="9" t="s">
        <v>87</v>
      </c>
      <c r="C9" s="9" t="s">
        <v>117</v>
      </c>
      <c r="D9" s="9" t="s">
        <v>147</v>
      </c>
    </row>
    <row r="10" spans="2:4" ht="18.75" x14ac:dyDescent="0.25">
      <c r="B10" s="9" t="s">
        <v>88</v>
      </c>
      <c r="C10" s="9" t="s">
        <v>118</v>
      </c>
      <c r="D10" s="9" t="s">
        <v>148</v>
      </c>
    </row>
    <row r="11" spans="2:4" ht="18.75" x14ac:dyDescent="0.25">
      <c r="B11" s="9" t="s">
        <v>89</v>
      </c>
      <c r="C11" s="9" t="s">
        <v>119</v>
      </c>
      <c r="D11" s="9" t="s">
        <v>149</v>
      </c>
    </row>
    <row r="12" spans="2:4" ht="18.75" x14ac:dyDescent="0.25">
      <c r="B12" s="9" t="s">
        <v>90</v>
      </c>
      <c r="C12" s="9" t="s">
        <v>120</v>
      </c>
      <c r="D12" s="9" t="s">
        <v>150</v>
      </c>
    </row>
    <row r="13" spans="2:4" ht="18.75" x14ac:dyDescent="0.25">
      <c r="B13" s="9" t="s">
        <v>91</v>
      </c>
      <c r="C13" s="9" t="s">
        <v>121</v>
      </c>
      <c r="D13" s="9" t="s">
        <v>151</v>
      </c>
    </row>
    <row r="14" spans="2:4" ht="18.75" x14ac:dyDescent="0.25">
      <c r="B14" s="9" t="s">
        <v>92</v>
      </c>
      <c r="C14" s="9" t="s">
        <v>122</v>
      </c>
      <c r="D14" s="9" t="s">
        <v>152</v>
      </c>
    </row>
    <row r="15" spans="2:4" ht="18.75" x14ac:dyDescent="0.25">
      <c r="B15" s="9" t="s">
        <v>93</v>
      </c>
      <c r="C15" s="9" t="s">
        <v>123</v>
      </c>
      <c r="D15" s="9" t="s">
        <v>153</v>
      </c>
    </row>
    <row r="16" spans="2:4" ht="18.75" x14ac:dyDescent="0.3">
      <c r="B16" s="10" t="s">
        <v>94</v>
      </c>
      <c r="C16" s="10"/>
      <c r="D16" s="10" t="s">
        <v>154</v>
      </c>
    </row>
    <row r="17" spans="2:4" ht="18.75" x14ac:dyDescent="0.3">
      <c r="B17" s="9" t="s">
        <v>95</v>
      </c>
      <c r="C17" s="10" t="s">
        <v>124</v>
      </c>
      <c r="D17" s="10" t="s">
        <v>155</v>
      </c>
    </row>
    <row r="18" spans="2:4" ht="18.75" x14ac:dyDescent="0.25">
      <c r="B18" s="9" t="s">
        <v>96</v>
      </c>
      <c r="C18" s="9" t="s">
        <v>125</v>
      </c>
      <c r="D18" s="9" t="s">
        <v>156</v>
      </c>
    </row>
    <row r="19" spans="2:4" ht="18.75" x14ac:dyDescent="0.3">
      <c r="B19" s="9" t="s">
        <v>97</v>
      </c>
      <c r="C19" s="10" t="s">
        <v>126</v>
      </c>
      <c r="D19" s="9" t="s">
        <v>157</v>
      </c>
    </row>
    <row r="20" spans="2:4" ht="18.75" x14ac:dyDescent="0.3">
      <c r="B20" s="9" t="s">
        <v>98</v>
      </c>
      <c r="C20" s="10" t="s">
        <v>127</v>
      </c>
      <c r="D20" s="10" t="s">
        <v>158</v>
      </c>
    </row>
    <row r="21" spans="2:4" ht="18.75" x14ac:dyDescent="0.3">
      <c r="B21" s="10" t="s">
        <v>99</v>
      </c>
      <c r="C21" s="10" t="s">
        <v>128</v>
      </c>
      <c r="D21" s="10" t="s">
        <v>159</v>
      </c>
    </row>
    <row r="22" spans="2:4" ht="18.75" x14ac:dyDescent="0.3">
      <c r="B22" s="10" t="s">
        <v>100</v>
      </c>
      <c r="C22" s="10" t="s">
        <v>129</v>
      </c>
      <c r="D22" s="10" t="s">
        <v>160</v>
      </c>
    </row>
    <row r="23" spans="2:4" ht="18.75" x14ac:dyDescent="0.3">
      <c r="B23" s="10" t="s">
        <v>101</v>
      </c>
      <c r="C23" s="10" t="s">
        <v>130</v>
      </c>
      <c r="D23" s="10" t="s">
        <v>161</v>
      </c>
    </row>
    <row r="24" spans="2:4" ht="18.75" x14ac:dyDescent="0.3">
      <c r="B24" s="10" t="s">
        <v>102</v>
      </c>
      <c r="C24" s="10" t="s">
        <v>131</v>
      </c>
      <c r="D24" s="10" t="s">
        <v>162</v>
      </c>
    </row>
    <row r="25" spans="2:4" ht="18.75" x14ac:dyDescent="0.3">
      <c r="B25" s="10" t="s">
        <v>103</v>
      </c>
      <c r="C25" s="10" t="s">
        <v>132</v>
      </c>
      <c r="D25" s="10" t="s">
        <v>163</v>
      </c>
    </row>
    <row r="26" spans="2:4" ht="18.75" x14ac:dyDescent="0.3">
      <c r="B26" s="10" t="s">
        <v>104</v>
      </c>
      <c r="C26" s="10" t="s">
        <v>133</v>
      </c>
      <c r="D26" s="10" t="s">
        <v>164</v>
      </c>
    </row>
    <row r="27" spans="2:4" ht="18.75" x14ac:dyDescent="0.3">
      <c r="B27" s="10" t="s">
        <v>105</v>
      </c>
      <c r="C27" s="10" t="s">
        <v>134</v>
      </c>
      <c r="D27" s="10" t="s">
        <v>165</v>
      </c>
    </row>
    <row r="28" spans="2:4" ht="18.75" x14ac:dyDescent="0.3">
      <c r="B28" s="10" t="s">
        <v>106</v>
      </c>
      <c r="C28" s="10" t="s">
        <v>135</v>
      </c>
      <c r="D28" s="10" t="s">
        <v>166</v>
      </c>
    </row>
    <row r="29" spans="2:4" ht="18.75" x14ac:dyDescent="0.3">
      <c r="B29" s="10" t="s">
        <v>107</v>
      </c>
      <c r="C29" s="10" t="s">
        <v>136</v>
      </c>
      <c r="D29" s="10" t="s">
        <v>167</v>
      </c>
    </row>
    <row r="30" spans="2:4" ht="18.75" x14ac:dyDescent="0.3">
      <c r="B30" s="10" t="s">
        <v>108</v>
      </c>
      <c r="C30" s="10" t="s">
        <v>137</v>
      </c>
      <c r="D30" s="10" t="s">
        <v>168</v>
      </c>
    </row>
    <row r="31" spans="2:4" ht="18.75" x14ac:dyDescent="0.3">
      <c r="B31" s="10" t="s">
        <v>109</v>
      </c>
      <c r="C31" s="10" t="s">
        <v>138</v>
      </c>
      <c r="D31" s="10" t="s">
        <v>169</v>
      </c>
    </row>
    <row r="32" spans="2:4" ht="18.75" x14ac:dyDescent="0.3">
      <c r="B32" s="4"/>
      <c r="C32" s="4"/>
      <c r="D32" s="4"/>
    </row>
    <row r="33" spans="2:4" ht="18.75" x14ac:dyDescent="0.3">
      <c r="B33" s="4"/>
      <c r="C33" s="4"/>
      <c r="D33" s="4"/>
    </row>
    <row r="34" spans="2:4" ht="18.75" x14ac:dyDescent="0.3">
      <c r="B34" s="4"/>
      <c r="C34" s="4"/>
      <c r="D34" s="4"/>
    </row>
    <row r="35" spans="2:4" ht="18.75" x14ac:dyDescent="0.3">
      <c r="B35" s="4"/>
      <c r="C35" s="4"/>
      <c r="D35" s="4"/>
    </row>
    <row r="36" spans="2:4" ht="18.75" x14ac:dyDescent="0.3">
      <c r="B36" s="4"/>
      <c r="C36" s="4"/>
      <c r="D36" s="4"/>
    </row>
    <row r="37" spans="2:4" ht="18.75" x14ac:dyDescent="0.3">
      <c r="B37" s="4"/>
      <c r="C37" s="4"/>
      <c r="D37" s="4"/>
    </row>
    <row r="38" spans="2:4" ht="18.75" x14ac:dyDescent="0.3">
      <c r="B38" s="4"/>
      <c r="C38" s="4"/>
      <c r="D38" s="4"/>
    </row>
    <row r="39" spans="2:4" ht="18.75" x14ac:dyDescent="0.3">
      <c r="B39" s="4"/>
      <c r="C39" s="4"/>
      <c r="D39" s="4"/>
    </row>
    <row r="40" spans="2:4" ht="18.75" x14ac:dyDescent="0.3">
      <c r="B40" s="4"/>
      <c r="C40" s="4"/>
      <c r="D40" s="4"/>
    </row>
    <row r="41" spans="2:4" ht="18.75" x14ac:dyDescent="0.3">
      <c r="B41" s="4"/>
      <c r="C41" s="4"/>
      <c r="D41" s="4"/>
    </row>
    <row r="42" spans="2:4" ht="18.75" x14ac:dyDescent="0.3">
      <c r="B42" s="4"/>
      <c r="C42" s="4"/>
      <c r="D42" s="4"/>
    </row>
    <row r="43" spans="2:4" ht="18.75" x14ac:dyDescent="0.3">
      <c r="B43" s="4"/>
      <c r="C43" s="4"/>
      <c r="D43" s="4"/>
    </row>
    <row r="44" spans="2:4" ht="18.75" x14ac:dyDescent="0.3">
      <c r="B44" s="4"/>
      <c r="C44" s="4"/>
      <c r="D44" s="4"/>
    </row>
    <row r="45" spans="2:4" ht="18.75" x14ac:dyDescent="0.3">
      <c r="B45" s="4"/>
      <c r="C45" s="4"/>
      <c r="D45" s="4"/>
    </row>
    <row r="46" spans="2:4" ht="18.75" x14ac:dyDescent="0.3">
      <c r="B46" s="4"/>
      <c r="C46" s="4"/>
      <c r="D46" s="4"/>
    </row>
    <row r="47" spans="2:4" ht="18.75" x14ac:dyDescent="0.3">
      <c r="B47" s="4"/>
      <c r="C47" s="4"/>
      <c r="D47" s="4"/>
    </row>
    <row r="48" spans="2:4" ht="18.75" x14ac:dyDescent="0.3">
      <c r="B48" s="4"/>
      <c r="C48" s="4"/>
      <c r="D48" s="4"/>
    </row>
    <row r="49" spans="2:4" ht="18.75" x14ac:dyDescent="0.3">
      <c r="B49" s="4"/>
      <c r="C49" s="4"/>
      <c r="D49" s="4"/>
    </row>
    <row r="50" spans="2:4" ht="18.75" x14ac:dyDescent="0.3">
      <c r="B50" s="4"/>
      <c r="C50" s="4"/>
      <c r="D50" s="4"/>
    </row>
    <row r="51" spans="2:4" ht="18.75" x14ac:dyDescent="0.3">
      <c r="B51" s="4"/>
      <c r="C51" s="4"/>
      <c r="D51" s="4"/>
    </row>
    <row r="52" spans="2:4" ht="18.75" x14ac:dyDescent="0.3">
      <c r="B52" s="4"/>
      <c r="C52" s="4"/>
      <c r="D52" s="4"/>
    </row>
    <row r="53" spans="2:4" ht="18.75" x14ac:dyDescent="0.3">
      <c r="B53" s="4"/>
      <c r="C53" s="4"/>
      <c r="D53" s="4"/>
    </row>
    <row r="54" spans="2:4" ht="18.75" x14ac:dyDescent="0.3">
      <c r="B54" s="4"/>
      <c r="C54" s="4"/>
      <c r="D54" s="4"/>
    </row>
    <row r="55" spans="2:4" ht="18.75" x14ac:dyDescent="0.3">
      <c r="B55" s="4"/>
      <c r="C55" s="4"/>
      <c r="D55" s="4"/>
    </row>
    <row r="56" spans="2:4" ht="18.75" x14ac:dyDescent="0.3">
      <c r="B56" s="4"/>
      <c r="C56" s="4"/>
      <c r="D56" s="4"/>
    </row>
    <row r="57" spans="2:4" ht="18.75" x14ac:dyDescent="0.3">
      <c r="B57" s="4"/>
      <c r="C57" s="4"/>
      <c r="D57" s="4"/>
    </row>
    <row r="58" spans="2:4" ht="18.75" x14ac:dyDescent="0.3">
      <c r="B58" s="4"/>
      <c r="C58" s="4"/>
      <c r="D58" s="4"/>
    </row>
    <row r="59" spans="2:4" ht="18.75" x14ac:dyDescent="0.3">
      <c r="B59" s="4"/>
      <c r="C59" s="4"/>
      <c r="D59" s="4"/>
    </row>
    <row r="60" spans="2:4" ht="18.75" x14ac:dyDescent="0.3">
      <c r="B60" s="4"/>
      <c r="C60" s="4"/>
      <c r="D60" s="4"/>
    </row>
    <row r="61" spans="2:4" ht="18.75" x14ac:dyDescent="0.3">
      <c r="B61" s="4"/>
      <c r="C61" s="4"/>
      <c r="D61" s="4"/>
    </row>
    <row r="62" spans="2:4" ht="18.75" x14ac:dyDescent="0.3">
      <c r="B62" s="4"/>
      <c r="C62" s="4"/>
      <c r="D62" s="4"/>
    </row>
    <row r="63" spans="2:4" ht="18.75" x14ac:dyDescent="0.3">
      <c r="B63" s="4"/>
      <c r="C63" s="4"/>
      <c r="D63" s="4"/>
    </row>
    <row r="64" spans="2:4" ht="18.75" x14ac:dyDescent="0.3">
      <c r="B64" s="4"/>
      <c r="C64" s="4"/>
      <c r="D64" s="4"/>
    </row>
    <row r="65" spans="2:4" ht="18.75" x14ac:dyDescent="0.3">
      <c r="B65" s="4"/>
      <c r="C65" s="4"/>
      <c r="D65" s="4"/>
    </row>
    <row r="66" spans="2:4" ht="18.75" x14ac:dyDescent="0.3">
      <c r="B66" s="4"/>
      <c r="C66" s="4"/>
      <c r="D66" s="4"/>
    </row>
    <row r="67" spans="2:4" ht="18.75" x14ac:dyDescent="0.3">
      <c r="B67" s="4"/>
      <c r="C67" s="4"/>
      <c r="D67" s="4"/>
    </row>
    <row r="68" spans="2:4" ht="18.75" x14ac:dyDescent="0.3">
      <c r="B68" s="4"/>
      <c r="C68" s="4"/>
      <c r="D68" s="4"/>
    </row>
    <row r="69" spans="2:4" ht="18.75" x14ac:dyDescent="0.3">
      <c r="B69" s="4"/>
      <c r="C69" s="4"/>
      <c r="D69" s="4"/>
    </row>
    <row r="70" spans="2:4" ht="18.75" x14ac:dyDescent="0.3">
      <c r="B70" s="4"/>
      <c r="C70" s="4"/>
      <c r="D70" s="4"/>
    </row>
    <row r="71" spans="2:4" ht="18.75" x14ac:dyDescent="0.3">
      <c r="B71" s="4"/>
      <c r="C71" s="4"/>
      <c r="D71" s="4"/>
    </row>
    <row r="72" spans="2:4" ht="18.75" x14ac:dyDescent="0.3">
      <c r="B72" s="4"/>
      <c r="C72" s="4"/>
      <c r="D72" s="4"/>
    </row>
    <row r="73" spans="2:4" ht="18.75" x14ac:dyDescent="0.3">
      <c r="B73" s="4"/>
      <c r="C73" s="4"/>
      <c r="D73" s="4"/>
    </row>
    <row r="74" spans="2:4" ht="18.75" x14ac:dyDescent="0.3">
      <c r="B74" s="4"/>
      <c r="C74" s="4"/>
      <c r="D74" s="4"/>
    </row>
    <row r="75" spans="2:4" ht="18.75" x14ac:dyDescent="0.3">
      <c r="B75" s="4"/>
      <c r="C75" s="4"/>
      <c r="D75" s="4"/>
    </row>
    <row r="76" spans="2:4" ht="18.75" x14ac:dyDescent="0.3">
      <c r="B76" s="4"/>
      <c r="C76" s="4"/>
      <c r="D76" s="4"/>
    </row>
    <row r="77" spans="2:4" ht="18.75" x14ac:dyDescent="0.3">
      <c r="B77" s="4"/>
      <c r="C77" s="4"/>
      <c r="D77" s="4"/>
    </row>
    <row r="78" spans="2:4" ht="18.75" x14ac:dyDescent="0.3">
      <c r="B78" s="4"/>
      <c r="C78" s="4"/>
      <c r="D78" s="4"/>
    </row>
    <row r="79" spans="2:4" ht="18.75" x14ac:dyDescent="0.3">
      <c r="B79" s="4"/>
      <c r="C79" s="4"/>
      <c r="D79" s="4"/>
    </row>
    <row r="80" spans="2:4" ht="18.75" x14ac:dyDescent="0.3">
      <c r="B80" s="4"/>
      <c r="C80" s="4"/>
      <c r="D80" s="4"/>
    </row>
    <row r="81" spans="2:4" ht="18.75" x14ac:dyDescent="0.3">
      <c r="B81" s="4"/>
      <c r="C81" s="4"/>
      <c r="D81" s="4"/>
    </row>
    <row r="82" spans="2:4" ht="18.75" x14ac:dyDescent="0.3">
      <c r="B82" s="4"/>
      <c r="C82" s="4"/>
      <c r="D82" s="4"/>
    </row>
    <row r="83" spans="2:4" ht="18.75" x14ac:dyDescent="0.3">
      <c r="B83" s="4"/>
      <c r="C83" s="4"/>
      <c r="D83" s="4"/>
    </row>
    <row r="84" spans="2:4" ht="18.75" x14ac:dyDescent="0.3">
      <c r="B84" s="4"/>
      <c r="C84" s="4"/>
      <c r="D84" s="4"/>
    </row>
    <row r="85" spans="2:4" ht="18.75" x14ac:dyDescent="0.3">
      <c r="B85" s="4"/>
      <c r="C85" s="4"/>
      <c r="D85" s="4"/>
    </row>
    <row r="86" spans="2:4" ht="18.75" x14ac:dyDescent="0.3">
      <c r="B86" s="4"/>
      <c r="C86" s="4"/>
      <c r="D86" s="4"/>
    </row>
    <row r="87" spans="2:4" ht="18.75" x14ac:dyDescent="0.3">
      <c r="B87" s="4"/>
      <c r="C87" s="4"/>
      <c r="D87" s="4"/>
    </row>
    <row r="88" spans="2:4" ht="18.75" x14ac:dyDescent="0.3">
      <c r="B88" s="4"/>
      <c r="C88" s="4"/>
      <c r="D88" s="4"/>
    </row>
    <row r="89" spans="2:4" ht="18.75" x14ac:dyDescent="0.3">
      <c r="B89" s="4"/>
      <c r="C89" s="4"/>
      <c r="D89" s="4"/>
    </row>
    <row r="90" spans="2:4" ht="18.75" x14ac:dyDescent="0.3">
      <c r="B90" s="4"/>
      <c r="C90" s="4"/>
      <c r="D90" s="4"/>
    </row>
    <row r="91" spans="2:4" ht="18.75" x14ac:dyDescent="0.3">
      <c r="C91" s="4"/>
      <c r="D91" s="4"/>
    </row>
    <row r="92" spans="2:4" ht="18.75" x14ac:dyDescent="0.3">
      <c r="C92" s="4"/>
      <c r="D92" s="4"/>
    </row>
    <row r="93" spans="2:4" ht="18.75" x14ac:dyDescent="0.3">
      <c r="C93" s="4"/>
      <c r="D93" s="4"/>
    </row>
    <row r="94" spans="2:4" ht="18.75" x14ac:dyDescent="0.3">
      <c r="C94" s="4"/>
      <c r="D94" s="4"/>
    </row>
    <row r="95" spans="2:4" ht="18.75" x14ac:dyDescent="0.3">
      <c r="C95" s="4"/>
      <c r="D95" s="4"/>
    </row>
    <row r="96" spans="2:4" ht="18.75" x14ac:dyDescent="0.3">
      <c r="C96" s="4"/>
      <c r="D96" s="4"/>
    </row>
    <row r="97" spans="3:4" ht="18.75" x14ac:dyDescent="0.3">
      <c r="C97" s="4"/>
      <c r="D97" s="4"/>
    </row>
    <row r="98" spans="3:4" ht="18.75" x14ac:dyDescent="0.3">
      <c r="C98" s="4"/>
      <c r="D98" s="4"/>
    </row>
    <row r="99" spans="3:4" ht="18.75" x14ac:dyDescent="0.3">
      <c r="C99" s="4"/>
      <c r="D99" s="4"/>
    </row>
    <row r="100" spans="3:4" ht="18.75" x14ac:dyDescent="0.3">
      <c r="C100" s="4"/>
      <c r="D100" s="4"/>
    </row>
    <row r="101" spans="3:4" ht="18.75" x14ac:dyDescent="0.3">
      <c r="C101" s="4"/>
      <c r="D101" s="4"/>
    </row>
    <row r="102" spans="3:4" ht="18.75" x14ac:dyDescent="0.3">
      <c r="C102" s="4"/>
      <c r="D102" s="4"/>
    </row>
    <row r="103" spans="3:4" ht="18.75" x14ac:dyDescent="0.3">
      <c r="C103" s="4"/>
      <c r="D103" s="4"/>
    </row>
    <row r="104" spans="3:4" ht="18.75" x14ac:dyDescent="0.3">
      <c r="C104" s="4"/>
      <c r="D104" s="4"/>
    </row>
    <row r="105" spans="3:4" ht="18.75" x14ac:dyDescent="0.3">
      <c r="C105" s="4"/>
      <c r="D105" s="4"/>
    </row>
    <row r="106" spans="3:4" ht="18.75" x14ac:dyDescent="0.3">
      <c r="C106" s="4"/>
      <c r="D106" s="4"/>
    </row>
    <row r="107" spans="3:4" ht="18.75" x14ac:dyDescent="0.3">
      <c r="C107" s="4"/>
      <c r="D107" s="4"/>
    </row>
    <row r="108" spans="3:4" ht="18.75" x14ac:dyDescent="0.3">
      <c r="C108" s="4"/>
      <c r="D108" s="4"/>
    </row>
    <row r="109" spans="3:4" ht="18.75" x14ac:dyDescent="0.3">
      <c r="C109" s="4"/>
      <c r="D109" s="4"/>
    </row>
    <row r="110" spans="3:4" ht="18.75" x14ac:dyDescent="0.3">
      <c r="C110" s="4"/>
      <c r="D110" s="4"/>
    </row>
    <row r="111" spans="3:4" ht="18.75" x14ac:dyDescent="0.3">
      <c r="C111" s="4"/>
      <c r="D111" s="4"/>
    </row>
    <row r="112" spans="3:4" ht="18.75" x14ac:dyDescent="0.3">
      <c r="C112" s="4"/>
      <c r="D112" s="4"/>
    </row>
    <row r="113" spans="3:4" ht="18.75" x14ac:dyDescent="0.3">
      <c r="C113" s="4"/>
      <c r="D113" s="4"/>
    </row>
    <row r="114" spans="3:4" ht="18.75" x14ac:dyDescent="0.3">
      <c r="C114" s="4"/>
      <c r="D114" s="4"/>
    </row>
    <row r="115" spans="3:4" ht="18.75" x14ac:dyDescent="0.3">
      <c r="C115" s="4"/>
      <c r="D115" s="4"/>
    </row>
    <row r="116" spans="3:4" ht="18.75" x14ac:dyDescent="0.3">
      <c r="C116" s="4"/>
      <c r="D116" s="4"/>
    </row>
    <row r="117" spans="3:4" ht="18.75" x14ac:dyDescent="0.3">
      <c r="C117" s="4"/>
      <c r="D117" s="4"/>
    </row>
    <row r="118" spans="3:4" ht="18.75" x14ac:dyDescent="0.3">
      <c r="C118" s="4"/>
      <c r="D118" s="4"/>
    </row>
    <row r="119" spans="3:4" ht="18.75" x14ac:dyDescent="0.3">
      <c r="C119" s="4"/>
      <c r="D119" s="4"/>
    </row>
    <row r="120" spans="3:4" ht="18.75" x14ac:dyDescent="0.3">
      <c r="C120" s="4"/>
      <c r="D120" s="4"/>
    </row>
    <row r="121" spans="3:4" ht="18.75" x14ac:dyDescent="0.3">
      <c r="C121" s="4"/>
      <c r="D121" s="4"/>
    </row>
    <row r="122" spans="3:4" ht="18.75" x14ac:dyDescent="0.3">
      <c r="C122" s="4"/>
      <c r="D122" s="4"/>
    </row>
    <row r="123" spans="3:4" ht="18.75" x14ac:dyDescent="0.3">
      <c r="C123" s="4"/>
      <c r="D123" s="4"/>
    </row>
    <row r="124" spans="3:4" ht="18.75" x14ac:dyDescent="0.3">
      <c r="C124" s="4"/>
      <c r="D124" s="4"/>
    </row>
    <row r="125" spans="3:4" ht="18.75" x14ac:dyDescent="0.3">
      <c r="C125" s="4"/>
      <c r="D125" s="4"/>
    </row>
    <row r="126" spans="3:4" ht="18.75" x14ac:dyDescent="0.3">
      <c r="C126" s="4"/>
      <c r="D126" s="4"/>
    </row>
    <row r="127" spans="3:4" ht="18.75" x14ac:dyDescent="0.3">
      <c r="C127" s="4"/>
      <c r="D127" s="4"/>
    </row>
    <row r="128" spans="3:4" ht="18.75" x14ac:dyDescent="0.3">
      <c r="C128" s="4"/>
      <c r="D128" s="4"/>
    </row>
    <row r="129" spans="3:4" ht="18.75" x14ac:dyDescent="0.3">
      <c r="C129" s="4"/>
      <c r="D129" s="4"/>
    </row>
    <row r="130" spans="3:4" ht="18.75" x14ac:dyDescent="0.3">
      <c r="C130" s="4"/>
      <c r="D130" s="4"/>
    </row>
    <row r="131" spans="3:4" ht="18.75" x14ac:dyDescent="0.3">
      <c r="C131" s="4"/>
      <c r="D131" s="4"/>
    </row>
    <row r="132" spans="3:4" ht="18.75" x14ac:dyDescent="0.3">
      <c r="C132" s="4"/>
      <c r="D132" s="4"/>
    </row>
    <row r="133" spans="3:4" ht="18.75" x14ac:dyDescent="0.3">
      <c r="C133" s="4"/>
      <c r="D133" s="4"/>
    </row>
    <row r="134" spans="3:4" ht="18.75" x14ac:dyDescent="0.3">
      <c r="C134" s="4"/>
      <c r="D134" s="4"/>
    </row>
    <row r="135" spans="3:4" ht="18.75" x14ac:dyDescent="0.3">
      <c r="C135" s="4"/>
      <c r="D135" s="4"/>
    </row>
    <row r="136" spans="3:4" ht="18.75" x14ac:dyDescent="0.3">
      <c r="C136" s="4"/>
      <c r="D136" s="4"/>
    </row>
    <row r="137" spans="3:4" ht="18.75" x14ac:dyDescent="0.3">
      <c r="C137" s="4"/>
      <c r="D137" s="4"/>
    </row>
    <row r="138" spans="3:4" ht="18.75" x14ac:dyDescent="0.3">
      <c r="C138" s="4"/>
      <c r="D138" s="4"/>
    </row>
    <row r="139" spans="3:4" ht="18.75" x14ac:dyDescent="0.3">
      <c r="C139" s="4"/>
      <c r="D139" s="4"/>
    </row>
    <row r="140" spans="3:4" ht="18.75" x14ac:dyDescent="0.3">
      <c r="C140" s="4"/>
      <c r="D140" s="4"/>
    </row>
    <row r="141" spans="3:4" ht="18.75" x14ac:dyDescent="0.3">
      <c r="C141" s="4"/>
      <c r="D141" s="4"/>
    </row>
    <row r="142" spans="3:4" ht="18.75" x14ac:dyDescent="0.3">
      <c r="C142" s="4"/>
      <c r="D142" s="4"/>
    </row>
    <row r="143" spans="3:4" ht="18.75" x14ac:dyDescent="0.3">
      <c r="C143" s="4"/>
      <c r="D143" s="4"/>
    </row>
    <row r="144" spans="3:4" ht="18.75" x14ac:dyDescent="0.3">
      <c r="C144" s="4"/>
      <c r="D144" s="4"/>
    </row>
    <row r="145" spans="3:4" ht="18.75" x14ac:dyDescent="0.3">
      <c r="C145" s="4"/>
      <c r="D145" s="4"/>
    </row>
    <row r="146" spans="3:4" ht="18.75" x14ac:dyDescent="0.3">
      <c r="C146" s="4"/>
      <c r="D146" s="4"/>
    </row>
    <row r="147" spans="3:4" ht="18.75" x14ac:dyDescent="0.3">
      <c r="C147" s="4"/>
      <c r="D147" s="4"/>
    </row>
    <row r="148" spans="3:4" ht="18.75" x14ac:dyDescent="0.3">
      <c r="C148" s="4"/>
      <c r="D148" s="4"/>
    </row>
    <row r="149" spans="3:4" ht="18.75" x14ac:dyDescent="0.3">
      <c r="C149" s="4"/>
      <c r="D149" s="4"/>
    </row>
    <row r="150" spans="3:4" ht="18.75" x14ac:dyDescent="0.3">
      <c r="C150" s="4"/>
      <c r="D150" s="4"/>
    </row>
    <row r="151" spans="3:4" ht="18.75" x14ac:dyDescent="0.3">
      <c r="C151" s="4"/>
      <c r="D151" s="4"/>
    </row>
    <row r="152" spans="3:4" ht="18.75" x14ac:dyDescent="0.3">
      <c r="C152" s="4"/>
      <c r="D152" s="4"/>
    </row>
    <row r="153" spans="3:4" ht="18.75" x14ac:dyDescent="0.3">
      <c r="C153" s="4"/>
      <c r="D153" s="4"/>
    </row>
    <row r="154" spans="3:4" ht="18.75" x14ac:dyDescent="0.3">
      <c r="C154" s="4"/>
      <c r="D154" s="4"/>
    </row>
    <row r="155" spans="3:4" ht="18.75" x14ac:dyDescent="0.3">
      <c r="C155" s="4"/>
      <c r="D155" s="4"/>
    </row>
    <row r="156" spans="3:4" ht="18.75" x14ac:dyDescent="0.3">
      <c r="C156" s="4"/>
      <c r="D156" s="4"/>
    </row>
    <row r="157" spans="3:4" ht="18.75" x14ac:dyDescent="0.3">
      <c r="C157" s="4"/>
      <c r="D157" s="4"/>
    </row>
    <row r="158" spans="3:4" ht="18.75" x14ac:dyDescent="0.3">
      <c r="C158" s="4"/>
      <c r="D158" s="4"/>
    </row>
    <row r="159" spans="3:4" ht="18.75" x14ac:dyDescent="0.3">
      <c r="C159" s="4"/>
      <c r="D159" s="4"/>
    </row>
    <row r="160" spans="3:4" ht="18.75" x14ac:dyDescent="0.3">
      <c r="C160" s="4"/>
      <c r="D160" s="4"/>
    </row>
    <row r="161" spans="3:4" ht="18.75" x14ac:dyDescent="0.3">
      <c r="C161" s="4"/>
      <c r="D161" s="4"/>
    </row>
    <row r="162" spans="3:4" ht="18.75" x14ac:dyDescent="0.3">
      <c r="C162" s="4"/>
      <c r="D162" s="4"/>
    </row>
    <row r="163" spans="3:4" ht="18.75" x14ac:dyDescent="0.3">
      <c r="C163" s="4"/>
      <c r="D163" s="4"/>
    </row>
    <row r="164" spans="3:4" ht="18.75" x14ac:dyDescent="0.3">
      <c r="C164" s="4"/>
      <c r="D164" s="4"/>
    </row>
    <row r="165" spans="3:4" ht="18.75" x14ac:dyDescent="0.3">
      <c r="C165" s="4"/>
      <c r="D165" s="4"/>
    </row>
    <row r="166" spans="3:4" ht="18.75" x14ac:dyDescent="0.3">
      <c r="C166" s="4"/>
      <c r="D166" s="4"/>
    </row>
    <row r="167" spans="3:4" ht="18.75" x14ac:dyDescent="0.3">
      <c r="C167" s="4"/>
      <c r="D167" s="4"/>
    </row>
    <row r="168" spans="3:4" ht="18.75" x14ac:dyDescent="0.3">
      <c r="C168" s="4"/>
      <c r="D168" s="4"/>
    </row>
    <row r="169" spans="3:4" ht="18.75" x14ac:dyDescent="0.3">
      <c r="C169" s="4"/>
      <c r="D169" s="4"/>
    </row>
    <row r="170" spans="3:4" ht="18.75" x14ac:dyDescent="0.3">
      <c r="C170" s="4"/>
      <c r="D170" s="4"/>
    </row>
    <row r="171" spans="3:4" ht="18.75" x14ac:dyDescent="0.3">
      <c r="C171" s="4"/>
      <c r="D171" s="4"/>
    </row>
    <row r="172" spans="3:4" ht="18.75" x14ac:dyDescent="0.3">
      <c r="C172" s="4"/>
      <c r="D172" s="4"/>
    </row>
    <row r="173" spans="3:4" ht="18.75" x14ac:dyDescent="0.3">
      <c r="C173" s="4"/>
      <c r="D173" s="4"/>
    </row>
    <row r="174" spans="3:4" ht="18.75" x14ac:dyDescent="0.3">
      <c r="C174" s="4"/>
      <c r="D174" s="4"/>
    </row>
    <row r="175" spans="3:4" ht="18.75" x14ac:dyDescent="0.3">
      <c r="C175" s="4"/>
      <c r="D175" s="4"/>
    </row>
    <row r="176" spans="3:4" ht="18.75" x14ac:dyDescent="0.3">
      <c r="C176" s="4"/>
      <c r="D176" s="4"/>
    </row>
    <row r="177" spans="3:4" ht="18.75" x14ac:dyDescent="0.3">
      <c r="C177" s="4"/>
      <c r="D177" s="4"/>
    </row>
    <row r="178" spans="3:4" ht="18.75" x14ac:dyDescent="0.3">
      <c r="C178" s="4"/>
      <c r="D178" s="4"/>
    </row>
    <row r="179" spans="3:4" ht="18.75" x14ac:dyDescent="0.3">
      <c r="C179" s="4"/>
      <c r="D179" s="4"/>
    </row>
    <row r="180" spans="3:4" ht="18.75" x14ac:dyDescent="0.3">
      <c r="C180" s="4"/>
      <c r="D180" s="4"/>
    </row>
    <row r="181" spans="3:4" ht="18.75" x14ac:dyDescent="0.3">
      <c r="C181" s="4"/>
      <c r="D181" s="4"/>
    </row>
    <row r="182" spans="3:4" ht="18.75" x14ac:dyDescent="0.3">
      <c r="C182" s="4"/>
      <c r="D182" s="4"/>
    </row>
    <row r="183" spans="3:4" ht="18.75" x14ac:dyDescent="0.3">
      <c r="C183" s="4"/>
      <c r="D183" s="4"/>
    </row>
    <row r="184" spans="3:4" ht="18.75" x14ac:dyDescent="0.3">
      <c r="C184" s="4"/>
      <c r="D184" s="4"/>
    </row>
    <row r="185" spans="3:4" ht="18.75" x14ac:dyDescent="0.3">
      <c r="C185" s="4"/>
      <c r="D185" s="4"/>
    </row>
    <row r="186" spans="3:4" ht="18.75" x14ac:dyDescent="0.3">
      <c r="C186" s="4"/>
      <c r="D186" s="4"/>
    </row>
    <row r="187" spans="3:4" ht="18.75" x14ac:dyDescent="0.3">
      <c r="C187" s="4"/>
      <c r="D187" s="4"/>
    </row>
    <row r="188" spans="3:4" ht="18.75" x14ac:dyDescent="0.3">
      <c r="C188" s="4"/>
      <c r="D188" s="4"/>
    </row>
    <row r="189" spans="3:4" ht="18.75" x14ac:dyDescent="0.3">
      <c r="C189" s="4"/>
      <c r="D189" s="4"/>
    </row>
    <row r="190" spans="3:4" ht="18.75" x14ac:dyDescent="0.3">
      <c r="C190" s="4"/>
      <c r="D190" s="4"/>
    </row>
    <row r="191" spans="3:4" ht="18.75" x14ac:dyDescent="0.3">
      <c r="C191" s="4"/>
      <c r="D191" s="4"/>
    </row>
    <row r="192" spans="3:4" ht="18.75" x14ac:dyDescent="0.3">
      <c r="C192" s="4"/>
      <c r="D192" s="4"/>
    </row>
    <row r="193" spans="3:4" ht="18.75" x14ac:dyDescent="0.3">
      <c r="C193" s="4"/>
      <c r="D193" s="4"/>
    </row>
    <row r="194" spans="3:4" ht="18.75" x14ac:dyDescent="0.3">
      <c r="C194" s="4"/>
      <c r="D194" s="4"/>
    </row>
    <row r="195" spans="3:4" ht="18.75" x14ac:dyDescent="0.3">
      <c r="C195" s="4"/>
      <c r="D195" s="4"/>
    </row>
    <row r="196" spans="3:4" ht="18.75" x14ac:dyDescent="0.3">
      <c r="C196" s="4"/>
      <c r="D196" s="4"/>
    </row>
    <row r="197" spans="3:4" ht="18.75" x14ac:dyDescent="0.3">
      <c r="C197" s="4"/>
      <c r="D197" s="4"/>
    </row>
    <row r="198" spans="3:4" ht="18.75" x14ac:dyDescent="0.3">
      <c r="C198" s="4"/>
      <c r="D198" s="4"/>
    </row>
    <row r="199" spans="3:4" ht="18.75" x14ac:dyDescent="0.3">
      <c r="C199" s="4"/>
      <c r="D199" s="4"/>
    </row>
    <row r="200" spans="3:4" ht="18.75" x14ac:dyDescent="0.3">
      <c r="C200" s="4"/>
      <c r="D200" s="4"/>
    </row>
    <row r="201" spans="3:4" ht="18.75" x14ac:dyDescent="0.3">
      <c r="C201" s="4"/>
      <c r="D201" s="4"/>
    </row>
    <row r="202" spans="3:4" ht="18.75" x14ac:dyDescent="0.3">
      <c r="C202" s="4"/>
      <c r="D202" s="4"/>
    </row>
    <row r="203" spans="3:4" ht="18.75" x14ac:dyDescent="0.3">
      <c r="C203" s="4"/>
      <c r="D203" s="4"/>
    </row>
    <row r="204" spans="3:4" ht="18.75" x14ac:dyDescent="0.3">
      <c r="C204" s="4"/>
      <c r="D204" s="4"/>
    </row>
    <row r="205" spans="3:4" ht="18.75" x14ac:dyDescent="0.3">
      <c r="C205" s="4"/>
      <c r="D205" s="4"/>
    </row>
    <row r="206" spans="3:4" ht="18.75" x14ac:dyDescent="0.3">
      <c r="C206" s="4"/>
      <c r="D206" s="4"/>
    </row>
    <row r="207" spans="3:4" ht="18.75" x14ac:dyDescent="0.3">
      <c r="C207" s="4"/>
      <c r="D207" s="4"/>
    </row>
    <row r="208" spans="3:4" ht="18.75" x14ac:dyDescent="0.3">
      <c r="C208" s="4"/>
      <c r="D208" s="4"/>
    </row>
    <row r="209" spans="3:4" ht="18.75" x14ac:dyDescent="0.3">
      <c r="C209" s="4"/>
      <c r="D209" s="4"/>
    </row>
    <row r="210" spans="3:4" ht="18.75" x14ac:dyDescent="0.3">
      <c r="C210" s="4"/>
      <c r="D210" s="4"/>
    </row>
    <row r="211" spans="3:4" ht="18.75" x14ac:dyDescent="0.3">
      <c r="C211" s="4"/>
      <c r="D211" s="4"/>
    </row>
    <row r="212" spans="3:4" ht="18.75" x14ac:dyDescent="0.3">
      <c r="C212" s="4"/>
      <c r="D212" s="4"/>
    </row>
    <row r="213" spans="3:4" ht="18.75" x14ac:dyDescent="0.3">
      <c r="C213" s="4"/>
      <c r="D213" s="4"/>
    </row>
    <row r="214" spans="3:4" ht="18.75" x14ac:dyDescent="0.3">
      <c r="C214" s="4"/>
      <c r="D214" s="4"/>
    </row>
    <row r="215" spans="3:4" ht="18.75" x14ac:dyDescent="0.3">
      <c r="C215" s="4"/>
      <c r="D215" s="4"/>
    </row>
    <row r="216" spans="3:4" ht="18.75" x14ac:dyDescent="0.3">
      <c r="C216" s="4"/>
      <c r="D216" s="4"/>
    </row>
    <row r="217" spans="3:4" ht="18.75" x14ac:dyDescent="0.3">
      <c r="C217" s="4"/>
      <c r="D217" s="4"/>
    </row>
    <row r="218" spans="3:4" ht="18.75" x14ac:dyDescent="0.3">
      <c r="C218" s="4"/>
      <c r="D218" s="4"/>
    </row>
    <row r="219" spans="3:4" ht="18.75" x14ac:dyDescent="0.3">
      <c r="C219" s="4"/>
      <c r="D219" s="4"/>
    </row>
    <row r="220" spans="3:4" ht="18.75" x14ac:dyDescent="0.3">
      <c r="C220" s="4"/>
      <c r="D220" s="4"/>
    </row>
    <row r="221" spans="3:4" ht="18.75" x14ac:dyDescent="0.3">
      <c r="C221" s="4"/>
      <c r="D221" s="4"/>
    </row>
    <row r="222" spans="3:4" ht="18.75" x14ac:dyDescent="0.3">
      <c r="C222" s="4"/>
      <c r="D222" s="4"/>
    </row>
    <row r="223" spans="3:4" ht="18.75" x14ac:dyDescent="0.3">
      <c r="C223" s="4"/>
      <c r="D223" s="4"/>
    </row>
    <row r="224" spans="3:4" ht="18.75" x14ac:dyDescent="0.3">
      <c r="C224" s="4"/>
      <c r="D224" s="4"/>
    </row>
    <row r="225" spans="3:4" ht="18.75" x14ac:dyDescent="0.3">
      <c r="C225" s="4"/>
      <c r="D225" s="4"/>
    </row>
    <row r="226" spans="3:4" ht="18.75" x14ac:dyDescent="0.3">
      <c r="C226" s="4"/>
      <c r="D226" s="4"/>
    </row>
    <row r="227" spans="3:4" ht="18.75" x14ac:dyDescent="0.3">
      <c r="C227" s="4"/>
      <c r="D227" s="4"/>
    </row>
    <row r="228" spans="3:4" ht="18.75" x14ac:dyDescent="0.3">
      <c r="C228" s="4"/>
      <c r="D228" s="4"/>
    </row>
    <row r="229" spans="3:4" ht="18.75" x14ac:dyDescent="0.3">
      <c r="C229" s="4"/>
      <c r="D229" s="4"/>
    </row>
    <row r="230" spans="3:4" ht="18.75" x14ac:dyDescent="0.3">
      <c r="C230" s="4"/>
      <c r="D230" s="4"/>
    </row>
    <row r="231" spans="3:4" ht="18.75" x14ac:dyDescent="0.3">
      <c r="C231" s="4"/>
      <c r="D231" s="4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4"/>
  <sheetViews>
    <sheetView workbookViewId="0">
      <selection activeCell="D10" sqref="D10"/>
    </sheetView>
  </sheetViews>
  <sheetFormatPr baseColWidth="10" defaultColWidth="8.7109375" defaultRowHeight="15" x14ac:dyDescent="0.25"/>
  <cols>
    <col min="2" max="2" width="15.28515625" customWidth="1"/>
    <col min="3" max="3" width="14.42578125" customWidth="1"/>
    <col min="4" max="4" width="18.140625" customWidth="1"/>
    <col min="5" max="5" width="10.140625" customWidth="1"/>
    <col min="6" max="6" width="10.7109375" customWidth="1"/>
    <col min="7" max="7" width="11.7109375" customWidth="1"/>
    <col min="8" max="8" width="11.140625" customWidth="1"/>
    <col min="9" max="10" width="12.7109375" customWidth="1"/>
    <col min="12" max="12" width="19.7109375" customWidth="1"/>
    <col min="13" max="13" width="14.28515625" customWidth="1"/>
    <col min="14" max="14" width="15" customWidth="1"/>
    <col min="15" max="15" width="15.140625" customWidth="1"/>
    <col min="16" max="16" width="13.7109375" customWidth="1"/>
  </cols>
  <sheetData>
    <row r="1" spans="1:22" x14ac:dyDescent="0.25">
      <c r="A1" s="2" t="s">
        <v>42</v>
      </c>
      <c r="B1" s="2" t="s">
        <v>43</v>
      </c>
      <c r="C1" s="2" t="s">
        <v>44</v>
      </c>
      <c r="D1" s="2" t="s">
        <v>41</v>
      </c>
      <c r="E1" s="2" t="s">
        <v>45</v>
      </c>
      <c r="F1" s="2" t="s">
        <v>46</v>
      </c>
      <c r="G1" s="2" t="s">
        <v>47</v>
      </c>
      <c r="H1" s="2" t="s">
        <v>48</v>
      </c>
      <c r="I1" s="2" t="s">
        <v>49</v>
      </c>
      <c r="J1" s="2" t="s">
        <v>50</v>
      </c>
      <c r="K1" s="2" t="s">
        <v>51</v>
      </c>
      <c r="L1" s="2" t="s">
        <v>52</v>
      </c>
      <c r="M1" s="2" t="s">
        <v>53</v>
      </c>
      <c r="N1" s="2" t="s">
        <v>54</v>
      </c>
      <c r="O1" s="2" t="s">
        <v>55</v>
      </c>
      <c r="P1" s="2" t="s">
        <v>56</v>
      </c>
      <c r="Q1" s="2"/>
      <c r="R1" s="2"/>
      <c r="S1" s="2"/>
      <c r="T1" s="2"/>
      <c r="U1" s="2"/>
      <c r="V1" s="2"/>
    </row>
    <row r="2" spans="1:22" x14ac:dyDescent="0.25">
      <c r="A2" s="1"/>
      <c r="B2" s="1"/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</row>
    <row r="3" spans="1:22" x14ac:dyDescent="0.25">
      <c r="A3" s="1"/>
      <c r="B3" s="1"/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</row>
    <row r="4" spans="1:22" x14ac:dyDescent="0.25">
      <c r="A4" s="1"/>
      <c r="B4" s="1"/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B3"/>
  <sheetViews>
    <sheetView workbookViewId="0"/>
  </sheetViews>
  <sheetFormatPr baseColWidth="10" defaultColWidth="8.7109375" defaultRowHeight="15" x14ac:dyDescent="0.25"/>
  <sheetData>
    <row r="1" spans="1:2" x14ac:dyDescent="0.25">
      <c r="A1" t="s">
        <v>57</v>
      </c>
      <c r="B1" t="s">
        <v>58</v>
      </c>
    </row>
    <row r="2" spans="1:2" x14ac:dyDescent="0.25">
      <c r="A2" t="s">
        <v>59</v>
      </c>
      <c r="B2" t="s">
        <v>60</v>
      </c>
    </row>
    <row r="3" spans="1:2" x14ac:dyDescent="0.25">
      <c r="A3" t="s">
        <v>61</v>
      </c>
      <c r="B3" t="s">
        <v>62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4</vt:i4>
      </vt:variant>
    </vt:vector>
  </HeadingPairs>
  <TitlesOfParts>
    <vt:vector size="4" baseType="lpstr">
      <vt:lpstr>Precios_App</vt:lpstr>
      <vt:lpstr>Patentes</vt:lpstr>
      <vt:lpstr>Submissions</vt:lpstr>
      <vt:lpstr>Config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Peter Plesr</cp:lastModifiedBy>
  <dcterms:created xsi:type="dcterms:W3CDTF">2026-05-24T17:57:39Z</dcterms:created>
  <dcterms:modified xsi:type="dcterms:W3CDTF">2026-08-06T20:46:55Z</dcterms:modified>
</cp:coreProperties>
</file>